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i priya bheri\Downloads\delivery\"/>
    </mc:Choice>
  </mc:AlternateContent>
  <xr:revisionPtr revIDLastSave="0" documentId="13_ncr:1_{B0A33E4C-B32D-4BDB-9BA5-91CB7F2A7E05}" xr6:coauthVersionLast="47" xr6:coauthVersionMax="47" xr10:uidLastSave="{00000000-0000-0000-0000-000000000000}"/>
  <bookViews>
    <workbookView xWindow="-120" yWindow="-120" windowWidth="20730" windowHeight="11040" activeTab="2" xr2:uid="{58311798-8718-4028-8116-E2D947513F15}"/>
  </bookViews>
  <sheets>
    <sheet name="Raw" sheetId="1" r:id="rId1"/>
    <sheet name="Analysiss" sheetId="2" r:id="rId2"/>
    <sheet name="Calculations" sheetId="3" r:id="rId3"/>
  </sheets>
  <definedNames>
    <definedName name="_xlcn.WorksheetConnection_delivery_performance_analysis1.xlsxAnalysis" hidden="1">Analysis[]</definedName>
  </definedNames>
  <calcPr calcId="191029"/>
  <pivotCaches>
    <pivotCache cacheId="163" r:id="rId4"/>
    <pivotCache cacheId="164" r:id="rId5"/>
    <pivotCache cacheId="165" r:id="rId6"/>
    <pivotCache cacheId="166" r:id="rId7"/>
  </pivotCaches>
  <extLst>
    <ext xmlns:x15="http://schemas.microsoft.com/office/spreadsheetml/2010/11/main" uri="{FCE2AD5D-F65C-4FA6-A056-5C36A1767C68}">
      <x15:dataModel>
        <x15:modelTables>
          <x15:modelTable id="Analysis" name="Analysis" connection="WorksheetConnection_delivery_performance_analysis1.xlsx!Analysis"/>
        </x15:modelTables>
      </x15:dataModel>
    </ext>
  </extLst>
</workbook>
</file>

<file path=xl/calcChain.xml><?xml version="1.0" encoding="utf-8"?>
<calcChain xmlns="http://schemas.openxmlformats.org/spreadsheetml/2006/main">
  <c r="C2" i="3" l="1"/>
  <c r="C6" i="3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N2" i="2"/>
  <c r="C5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M2" i="2"/>
  <c r="C4" i="3" s="1"/>
  <c r="M3" i="2"/>
  <c r="P3" i="2" s="1"/>
  <c r="M4" i="2"/>
  <c r="P4" i="2" s="1"/>
  <c r="M5" i="2"/>
  <c r="P5" i="2" s="1"/>
  <c r="M6" i="2"/>
  <c r="P6" i="2" s="1"/>
  <c r="M7" i="2"/>
  <c r="P7" i="2" s="1"/>
  <c r="M8" i="2"/>
  <c r="P8" i="2" s="1"/>
  <c r="M9" i="2"/>
  <c r="P9" i="2" s="1"/>
  <c r="M10" i="2"/>
  <c r="P10" i="2" s="1"/>
  <c r="M11" i="2"/>
  <c r="P11" i="2" s="1"/>
  <c r="M12" i="2"/>
  <c r="P12" i="2" s="1"/>
  <c r="M13" i="2"/>
  <c r="P13" i="2" s="1"/>
  <c r="M14" i="2"/>
  <c r="P14" i="2" s="1"/>
  <c r="M15" i="2"/>
  <c r="P15" i="2" s="1"/>
  <c r="M16" i="2"/>
  <c r="P16" i="2" s="1"/>
  <c r="M17" i="2"/>
  <c r="P17" i="2" s="1"/>
  <c r="M18" i="2"/>
  <c r="P18" i="2" s="1"/>
  <c r="M19" i="2"/>
  <c r="P19" i="2" s="1"/>
  <c r="M20" i="2"/>
  <c r="P20" i="2" s="1"/>
  <c r="M21" i="2"/>
  <c r="P21" i="2" s="1"/>
  <c r="M22" i="2"/>
  <c r="P22" i="2" s="1"/>
  <c r="M23" i="2"/>
  <c r="P23" i="2" s="1"/>
  <c r="M24" i="2"/>
  <c r="P24" i="2" s="1"/>
  <c r="M25" i="2"/>
  <c r="P25" i="2" s="1"/>
  <c r="M26" i="2"/>
  <c r="P26" i="2" s="1"/>
  <c r="M27" i="2"/>
  <c r="P27" i="2" s="1"/>
  <c r="M28" i="2"/>
  <c r="P28" i="2" s="1"/>
  <c r="M29" i="2"/>
  <c r="P29" i="2" s="1"/>
  <c r="M30" i="2"/>
  <c r="P30" i="2" s="1"/>
  <c r="M31" i="2"/>
  <c r="P31" i="2" s="1"/>
  <c r="M32" i="2"/>
  <c r="P32" i="2" s="1"/>
  <c r="M33" i="2"/>
  <c r="P33" i="2" s="1"/>
  <c r="M34" i="2"/>
  <c r="P34" i="2" s="1"/>
  <c r="M35" i="2"/>
  <c r="P35" i="2" s="1"/>
  <c r="M36" i="2"/>
  <c r="P36" i="2" s="1"/>
  <c r="M37" i="2"/>
  <c r="P37" i="2" s="1"/>
  <c r="M38" i="2"/>
  <c r="P38" i="2" s="1"/>
  <c r="M39" i="2"/>
  <c r="P39" i="2" s="1"/>
  <c r="M40" i="2"/>
  <c r="P40" i="2" s="1"/>
  <c r="M41" i="2"/>
  <c r="P41" i="2" s="1"/>
  <c r="M42" i="2"/>
  <c r="P42" i="2" s="1"/>
  <c r="M43" i="2"/>
  <c r="P43" i="2" s="1"/>
  <c r="M44" i="2"/>
  <c r="P44" i="2" s="1"/>
  <c r="M45" i="2"/>
  <c r="P45" i="2" s="1"/>
  <c r="M46" i="2"/>
  <c r="P46" i="2" s="1"/>
  <c r="M47" i="2"/>
  <c r="P47" i="2" s="1"/>
  <c r="M48" i="2"/>
  <c r="P48" i="2" s="1"/>
  <c r="M49" i="2"/>
  <c r="P49" i="2" s="1"/>
  <c r="M50" i="2"/>
  <c r="P50" i="2" s="1"/>
  <c r="M51" i="2"/>
  <c r="P51" i="2" s="1"/>
  <c r="M52" i="2"/>
  <c r="P52" i="2" s="1"/>
  <c r="M53" i="2"/>
  <c r="P53" i="2" s="1"/>
  <c r="M54" i="2"/>
  <c r="P54" i="2" s="1"/>
  <c r="M55" i="2"/>
  <c r="P55" i="2" s="1"/>
  <c r="M56" i="2"/>
  <c r="P56" i="2" s="1"/>
  <c r="M57" i="2"/>
  <c r="P57" i="2" s="1"/>
  <c r="M58" i="2"/>
  <c r="P58" i="2" s="1"/>
  <c r="M59" i="2"/>
  <c r="P59" i="2" s="1"/>
  <c r="M60" i="2"/>
  <c r="P60" i="2" s="1"/>
  <c r="M61" i="2"/>
  <c r="P61" i="2" s="1"/>
  <c r="M62" i="2"/>
  <c r="P62" i="2" s="1"/>
  <c r="M63" i="2"/>
  <c r="P63" i="2" s="1"/>
  <c r="M64" i="2"/>
  <c r="P64" i="2" s="1"/>
  <c r="M65" i="2"/>
  <c r="P65" i="2" s="1"/>
  <c r="M66" i="2"/>
  <c r="P66" i="2" s="1"/>
  <c r="M67" i="2"/>
  <c r="P67" i="2" s="1"/>
  <c r="M68" i="2"/>
  <c r="P68" i="2" s="1"/>
  <c r="M69" i="2"/>
  <c r="P69" i="2" s="1"/>
  <c r="M70" i="2"/>
  <c r="P70" i="2" s="1"/>
  <c r="M71" i="2"/>
  <c r="P71" i="2" s="1"/>
  <c r="M72" i="2"/>
  <c r="P72" i="2" s="1"/>
  <c r="M73" i="2"/>
  <c r="P73" i="2" s="1"/>
  <c r="M74" i="2"/>
  <c r="P74" i="2" s="1"/>
  <c r="M75" i="2"/>
  <c r="P75" i="2" s="1"/>
  <c r="M76" i="2"/>
  <c r="P76" i="2" s="1"/>
  <c r="M77" i="2"/>
  <c r="P77" i="2" s="1"/>
  <c r="M78" i="2"/>
  <c r="P78" i="2" s="1"/>
  <c r="M79" i="2"/>
  <c r="P79" i="2" s="1"/>
  <c r="M80" i="2"/>
  <c r="P80" i="2" s="1"/>
  <c r="M81" i="2"/>
  <c r="P81" i="2" s="1"/>
  <c r="M82" i="2"/>
  <c r="P82" i="2" s="1"/>
  <c r="M83" i="2"/>
  <c r="P83" i="2" s="1"/>
  <c r="M84" i="2"/>
  <c r="P84" i="2" s="1"/>
  <c r="M85" i="2"/>
  <c r="P85" i="2" s="1"/>
  <c r="M86" i="2"/>
  <c r="P86" i="2" s="1"/>
  <c r="M87" i="2"/>
  <c r="P87" i="2" s="1"/>
  <c r="M88" i="2"/>
  <c r="P88" i="2" s="1"/>
  <c r="M89" i="2"/>
  <c r="P89" i="2" s="1"/>
  <c r="M90" i="2"/>
  <c r="P90" i="2" s="1"/>
  <c r="M91" i="2"/>
  <c r="P91" i="2" s="1"/>
  <c r="M92" i="2"/>
  <c r="P92" i="2" s="1"/>
  <c r="M93" i="2"/>
  <c r="P93" i="2" s="1"/>
  <c r="M94" i="2"/>
  <c r="P94" i="2" s="1"/>
  <c r="M95" i="2"/>
  <c r="P95" i="2" s="1"/>
  <c r="M96" i="2"/>
  <c r="P96" i="2" s="1"/>
  <c r="M97" i="2"/>
  <c r="P97" i="2" s="1"/>
  <c r="M98" i="2"/>
  <c r="P98" i="2" s="1"/>
  <c r="M99" i="2"/>
  <c r="P99" i="2" s="1"/>
  <c r="M100" i="2"/>
  <c r="P100" i="2" s="1"/>
  <c r="M101" i="2"/>
  <c r="P101" i="2" s="1"/>
  <c r="M102" i="2"/>
  <c r="P102" i="2" s="1"/>
  <c r="M103" i="2"/>
  <c r="P103" i="2" s="1"/>
  <c r="M104" i="2"/>
  <c r="P104" i="2" s="1"/>
  <c r="M105" i="2"/>
  <c r="P105" i="2" s="1"/>
  <c r="M106" i="2"/>
  <c r="P106" i="2" s="1"/>
  <c r="M107" i="2"/>
  <c r="P107" i="2" s="1"/>
  <c r="M108" i="2"/>
  <c r="P108" i="2" s="1"/>
  <c r="M109" i="2"/>
  <c r="P109" i="2" s="1"/>
  <c r="M110" i="2"/>
  <c r="P110" i="2" s="1"/>
  <c r="M111" i="2"/>
  <c r="P111" i="2" s="1"/>
  <c r="M112" i="2"/>
  <c r="P112" i="2" s="1"/>
  <c r="M113" i="2"/>
  <c r="P113" i="2" s="1"/>
  <c r="M114" i="2"/>
  <c r="P114" i="2" s="1"/>
  <c r="M115" i="2"/>
  <c r="P115" i="2" s="1"/>
  <c r="M116" i="2"/>
  <c r="P116" i="2" s="1"/>
  <c r="M117" i="2"/>
  <c r="P117" i="2" s="1"/>
  <c r="M118" i="2"/>
  <c r="P118" i="2" s="1"/>
  <c r="M119" i="2"/>
  <c r="P119" i="2" s="1"/>
  <c r="M120" i="2"/>
  <c r="P120" i="2" s="1"/>
  <c r="M121" i="2"/>
  <c r="P121" i="2" s="1"/>
  <c r="M122" i="2"/>
  <c r="P122" i="2" s="1"/>
  <c r="M123" i="2"/>
  <c r="P123" i="2" s="1"/>
  <c r="M124" i="2"/>
  <c r="P124" i="2" s="1"/>
  <c r="M125" i="2"/>
  <c r="P125" i="2" s="1"/>
  <c r="M126" i="2"/>
  <c r="P126" i="2" s="1"/>
  <c r="M127" i="2"/>
  <c r="P127" i="2" s="1"/>
  <c r="M128" i="2"/>
  <c r="P128" i="2" s="1"/>
  <c r="M129" i="2"/>
  <c r="P129" i="2" s="1"/>
  <c r="M130" i="2"/>
  <c r="P130" i="2" s="1"/>
  <c r="M131" i="2"/>
  <c r="P131" i="2" s="1"/>
  <c r="M132" i="2"/>
  <c r="P132" i="2" s="1"/>
  <c r="M133" i="2"/>
  <c r="P133" i="2" s="1"/>
  <c r="M134" i="2"/>
  <c r="P134" i="2" s="1"/>
  <c r="M135" i="2"/>
  <c r="P135" i="2" s="1"/>
  <c r="M136" i="2"/>
  <c r="P136" i="2" s="1"/>
  <c r="M137" i="2"/>
  <c r="P137" i="2" s="1"/>
  <c r="M138" i="2"/>
  <c r="P138" i="2" s="1"/>
  <c r="M139" i="2"/>
  <c r="P139" i="2" s="1"/>
  <c r="M140" i="2"/>
  <c r="P140" i="2" s="1"/>
  <c r="M141" i="2"/>
  <c r="P141" i="2" s="1"/>
  <c r="M142" i="2"/>
  <c r="P142" i="2" s="1"/>
  <c r="M143" i="2"/>
  <c r="P143" i="2" s="1"/>
  <c r="M144" i="2"/>
  <c r="P144" i="2" s="1"/>
  <c r="M145" i="2"/>
  <c r="P145" i="2" s="1"/>
  <c r="M146" i="2"/>
  <c r="P146" i="2" s="1"/>
  <c r="M147" i="2"/>
  <c r="P147" i="2" s="1"/>
  <c r="M148" i="2"/>
  <c r="P148" i="2" s="1"/>
  <c r="M149" i="2"/>
  <c r="P149" i="2" s="1"/>
  <c r="M150" i="2"/>
  <c r="P150" i="2" s="1"/>
  <c r="M151" i="2"/>
  <c r="P151" i="2" s="1"/>
  <c r="M152" i="2"/>
  <c r="P152" i="2" s="1"/>
  <c r="M153" i="2"/>
  <c r="P153" i="2" s="1"/>
  <c r="M154" i="2"/>
  <c r="P154" i="2" s="1"/>
  <c r="M155" i="2"/>
  <c r="P155" i="2" s="1"/>
  <c r="M156" i="2"/>
  <c r="P156" i="2" s="1"/>
  <c r="M157" i="2"/>
  <c r="P157" i="2" s="1"/>
  <c r="M158" i="2"/>
  <c r="P158" i="2" s="1"/>
  <c r="M159" i="2"/>
  <c r="P159" i="2" s="1"/>
  <c r="M160" i="2"/>
  <c r="P160" i="2" s="1"/>
  <c r="M161" i="2"/>
  <c r="P161" i="2" s="1"/>
  <c r="M162" i="2"/>
  <c r="P162" i="2" s="1"/>
  <c r="M163" i="2"/>
  <c r="P163" i="2" s="1"/>
  <c r="M164" i="2"/>
  <c r="P164" i="2" s="1"/>
  <c r="M165" i="2"/>
  <c r="P165" i="2" s="1"/>
  <c r="M166" i="2"/>
  <c r="P166" i="2" s="1"/>
  <c r="M167" i="2"/>
  <c r="P167" i="2" s="1"/>
  <c r="M168" i="2"/>
  <c r="P168" i="2" s="1"/>
  <c r="M169" i="2"/>
  <c r="P169" i="2" s="1"/>
  <c r="M170" i="2"/>
  <c r="P170" i="2" s="1"/>
  <c r="M171" i="2"/>
  <c r="P171" i="2" s="1"/>
  <c r="M172" i="2"/>
  <c r="P172" i="2" s="1"/>
  <c r="M173" i="2"/>
  <c r="P173" i="2" s="1"/>
  <c r="M174" i="2"/>
  <c r="P174" i="2" s="1"/>
  <c r="M175" i="2"/>
  <c r="P175" i="2" s="1"/>
  <c r="M176" i="2"/>
  <c r="P176" i="2" s="1"/>
  <c r="M177" i="2"/>
  <c r="P177" i="2" s="1"/>
  <c r="M178" i="2"/>
  <c r="P178" i="2" s="1"/>
  <c r="M179" i="2"/>
  <c r="P179" i="2" s="1"/>
  <c r="M180" i="2"/>
  <c r="P180" i="2" s="1"/>
  <c r="M181" i="2"/>
  <c r="P181" i="2" s="1"/>
  <c r="M182" i="2"/>
  <c r="P182" i="2" s="1"/>
  <c r="M183" i="2"/>
  <c r="P183" i="2" s="1"/>
  <c r="M184" i="2"/>
  <c r="P184" i="2" s="1"/>
  <c r="M185" i="2"/>
  <c r="P185" i="2" s="1"/>
  <c r="M186" i="2"/>
  <c r="P186" i="2" s="1"/>
  <c r="M187" i="2"/>
  <c r="P187" i="2" s="1"/>
  <c r="M188" i="2"/>
  <c r="P188" i="2" s="1"/>
  <c r="M189" i="2"/>
  <c r="P189" i="2" s="1"/>
  <c r="M190" i="2"/>
  <c r="P190" i="2" s="1"/>
  <c r="M191" i="2"/>
  <c r="P191" i="2" s="1"/>
  <c r="M192" i="2"/>
  <c r="P192" i="2" s="1"/>
  <c r="M193" i="2"/>
  <c r="P193" i="2" s="1"/>
  <c r="M194" i="2"/>
  <c r="P194" i="2" s="1"/>
  <c r="M195" i="2"/>
  <c r="P195" i="2" s="1"/>
  <c r="M196" i="2"/>
  <c r="P196" i="2" s="1"/>
  <c r="M197" i="2"/>
  <c r="P197" i="2" s="1"/>
  <c r="M198" i="2"/>
  <c r="P198" i="2" s="1"/>
  <c r="M199" i="2"/>
  <c r="P199" i="2" s="1"/>
  <c r="M200" i="2"/>
  <c r="P200" i="2" s="1"/>
  <c r="M201" i="2"/>
  <c r="P201" i="2" s="1"/>
  <c r="P2" i="2" l="1"/>
  <c r="C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AEFB9-1F45-4377-8E0F-4010E04591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B2EF416-B4B3-4108-A3EC-CC44B8FDA5BF}" name="WorksheetConnection_delivery_performance_analysis1.xlsx!Analysis" type="102" refreshedVersion="8" minRefreshableVersion="5">
    <extLst>
      <ext xmlns:x15="http://schemas.microsoft.com/office/spreadsheetml/2010/11/main" uri="{DE250136-89BD-433C-8126-D09CA5730AF9}">
        <x15:connection id="Analysis" autoDelete="1">
          <x15:rangePr sourceName="_xlcn.WorksheetConnection_delivery_performance_analysis1.xlsxAnalysis"/>
        </x15:connection>
      </ext>
    </extLst>
  </connection>
</connections>
</file>

<file path=xl/sharedStrings.xml><?xml version="1.0" encoding="utf-8"?>
<sst xmlns="http://schemas.openxmlformats.org/spreadsheetml/2006/main" count="2511" uniqueCount="293">
  <si>
    <t>package_id</t>
  </si>
  <si>
    <t>courier_id</t>
  </si>
  <si>
    <t>city</t>
  </si>
  <si>
    <t>warehouse</t>
  </si>
  <si>
    <t>category</t>
  </si>
  <si>
    <t>order_value</t>
  </si>
  <si>
    <t>accept_time</t>
  </si>
  <si>
    <t>pickup_time</t>
  </si>
  <si>
    <t>delivery_time</t>
  </si>
  <si>
    <t>distance_km</t>
  </si>
  <si>
    <t>delay_reason</t>
  </si>
  <si>
    <t>sla_delivery_hrs</t>
  </si>
  <si>
    <t>PKG001</t>
  </si>
  <si>
    <t>C124</t>
  </si>
  <si>
    <t>Bangalore</t>
  </si>
  <si>
    <t>BLR1</t>
  </si>
  <si>
    <t>Electronics</t>
  </si>
  <si>
    <t>Weather</t>
  </si>
  <si>
    <t>PKG002</t>
  </si>
  <si>
    <t>C140</t>
  </si>
  <si>
    <t>Delhi</t>
  </si>
  <si>
    <t>DEL1</t>
  </si>
  <si>
    <t>Home</t>
  </si>
  <si>
    <t>Traffic</t>
  </si>
  <si>
    <t>PKG003</t>
  </si>
  <si>
    <t>C101</t>
  </si>
  <si>
    <t>Grocery</t>
  </si>
  <si>
    <t>PKG004</t>
  </si>
  <si>
    <t>C130</t>
  </si>
  <si>
    <t>Beauty</t>
  </si>
  <si>
    <t>Hub Delay</t>
  </si>
  <si>
    <t>PKG005</t>
  </si>
  <si>
    <t>PKG006</t>
  </si>
  <si>
    <t>C122</t>
  </si>
  <si>
    <t>Stationery</t>
  </si>
  <si>
    <t>PKG007</t>
  </si>
  <si>
    <t>C106</t>
  </si>
  <si>
    <t>Mumbai</t>
  </si>
  <si>
    <t>MUM1</t>
  </si>
  <si>
    <t>PKG008</t>
  </si>
  <si>
    <t>C135</t>
  </si>
  <si>
    <t>Hyderabad</t>
  </si>
  <si>
    <t>HYD1</t>
  </si>
  <si>
    <t>PKG009</t>
  </si>
  <si>
    <t>C102</t>
  </si>
  <si>
    <t>Chennai</t>
  </si>
  <si>
    <t>CHN1</t>
  </si>
  <si>
    <t>PKG010</t>
  </si>
  <si>
    <t>C123</t>
  </si>
  <si>
    <t>PKG011</t>
  </si>
  <si>
    <t>C114</t>
  </si>
  <si>
    <t>PKG012</t>
  </si>
  <si>
    <t>C105</t>
  </si>
  <si>
    <t>None</t>
  </si>
  <si>
    <t>PKG013</t>
  </si>
  <si>
    <t>C137</t>
  </si>
  <si>
    <t>PKG014</t>
  </si>
  <si>
    <t>C136</t>
  </si>
  <si>
    <t>PKG015</t>
  </si>
  <si>
    <t>PKG016</t>
  </si>
  <si>
    <t>PKG017</t>
  </si>
  <si>
    <t>PKG018</t>
  </si>
  <si>
    <t>C128</t>
  </si>
  <si>
    <t>PKG019</t>
  </si>
  <si>
    <t>C111</t>
  </si>
  <si>
    <t>PKG020</t>
  </si>
  <si>
    <t>C110</t>
  </si>
  <si>
    <t>PKG021</t>
  </si>
  <si>
    <t>Apparel</t>
  </si>
  <si>
    <t>PKG022</t>
  </si>
  <si>
    <t>C127</t>
  </si>
  <si>
    <t>PKG023</t>
  </si>
  <si>
    <t>C116</t>
  </si>
  <si>
    <t>PKG024</t>
  </si>
  <si>
    <t>PKG025</t>
  </si>
  <si>
    <t>C117</t>
  </si>
  <si>
    <t>PKG026</t>
  </si>
  <si>
    <t>PKG027</t>
  </si>
  <si>
    <t>C134</t>
  </si>
  <si>
    <t>PKG028</t>
  </si>
  <si>
    <t>PKG029</t>
  </si>
  <si>
    <t>C103</t>
  </si>
  <si>
    <t>PKG030</t>
  </si>
  <si>
    <t>PKG031</t>
  </si>
  <si>
    <t>C109</t>
  </si>
  <si>
    <t>PKG032</t>
  </si>
  <si>
    <t>PKG033</t>
  </si>
  <si>
    <t>PKG034</t>
  </si>
  <si>
    <t>C125</t>
  </si>
  <si>
    <t>PKG035</t>
  </si>
  <si>
    <t>PKG036</t>
  </si>
  <si>
    <t>PKG037</t>
  </si>
  <si>
    <t>PKG038</t>
  </si>
  <si>
    <t>PKG039</t>
  </si>
  <si>
    <t>C112</t>
  </si>
  <si>
    <t>PKG040</t>
  </si>
  <si>
    <t>C119</t>
  </si>
  <si>
    <t>PKG041</t>
  </si>
  <si>
    <t>PKG042</t>
  </si>
  <si>
    <t>C138</t>
  </si>
  <si>
    <t>PKG043</t>
  </si>
  <si>
    <t>PKG044</t>
  </si>
  <si>
    <t>C118</t>
  </si>
  <si>
    <t>PKG045</t>
  </si>
  <si>
    <t>C133</t>
  </si>
  <si>
    <t>PKG046</t>
  </si>
  <si>
    <t>PKG047</t>
  </si>
  <si>
    <t>C131</t>
  </si>
  <si>
    <t>PKG048</t>
  </si>
  <si>
    <t>PKG049</t>
  </si>
  <si>
    <t>PKG050</t>
  </si>
  <si>
    <t>PKG051</t>
  </si>
  <si>
    <t>PKG052</t>
  </si>
  <si>
    <t>PKG053</t>
  </si>
  <si>
    <t>C120</t>
  </si>
  <si>
    <t>PKG054</t>
  </si>
  <si>
    <t>PKG055</t>
  </si>
  <si>
    <t>PKG056</t>
  </si>
  <si>
    <t>PKG057</t>
  </si>
  <si>
    <t>PKG058</t>
  </si>
  <si>
    <t>PKG059</t>
  </si>
  <si>
    <t>PKG060</t>
  </si>
  <si>
    <t>C107</t>
  </si>
  <si>
    <t>PKG061</t>
  </si>
  <si>
    <t>PKG062</t>
  </si>
  <si>
    <t>PKG063</t>
  </si>
  <si>
    <t>PKG064</t>
  </si>
  <si>
    <t>C126</t>
  </si>
  <si>
    <t>PKG065</t>
  </si>
  <si>
    <t>PKG066</t>
  </si>
  <si>
    <t>PKG067</t>
  </si>
  <si>
    <t>PKG068</t>
  </si>
  <si>
    <t>C104</t>
  </si>
  <si>
    <t>PKG069</t>
  </si>
  <si>
    <t>PKG070</t>
  </si>
  <si>
    <t>PKG071</t>
  </si>
  <si>
    <t>PKG072</t>
  </si>
  <si>
    <t>PKG073</t>
  </si>
  <si>
    <t>PKG074</t>
  </si>
  <si>
    <t>PKG075</t>
  </si>
  <si>
    <t>PKG076</t>
  </si>
  <si>
    <t>C132</t>
  </si>
  <si>
    <t>PKG077</t>
  </si>
  <si>
    <t>PKG078</t>
  </si>
  <si>
    <t>PKG079</t>
  </si>
  <si>
    <t>PKG080</t>
  </si>
  <si>
    <t>PKG081</t>
  </si>
  <si>
    <t>PKG082</t>
  </si>
  <si>
    <t>PKG083</t>
  </si>
  <si>
    <t>PKG084</t>
  </si>
  <si>
    <t>PKG085</t>
  </si>
  <si>
    <t>PKG086</t>
  </si>
  <si>
    <t>PKG087</t>
  </si>
  <si>
    <t>PKG088</t>
  </si>
  <si>
    <t>C121</t>
  </si>
  <si>
    <t>PKG089</t>
  </si>
  <si>
    <t>C108</t>
  </si>
  <si>
    <t>PKG090</t>
  </si>
  <si>
    <t>C139</t>
  </si>
  <si>
    <t>PKG091</t>
  </si>
  <si>
    <t>PKG092</t>
  </si>
  <si>
    <t>PKG093</t>
  </si>
  <si>
    <t>PKG094</t>
  </si>
  <si>
    <t>PKG095</t>
  </si>
  <si>
    <t>PKG096</t>
  </si>
  <si>
    <t>PKG097</t>
  </si>
  <si>
    <t>PKG098</t>
  </si>
  <si>
    <t>PKG099</t>
  </si>
  <si>
    <t>PKG100</t>
  </si>
  <si>
    <t>PKG101</t>
  </si>
  <si>
    <t>PKG102</t>
  </si>
  <si>
    <t>PKG103</t>
  </si>
  <si>
    <t>PKG104</t>
  </si>
  <si>
    <t>PKG105</t>
  </si>
  <si>
    <t>PKG106</t>
  </si>
  <si>
    <t>C129</t>
  </si>
  <si>
    <t>PKG107</t>
  </si>
  <si>
    <t>PKG108</t>
  </si>
  <si>
    <t>PKG109</t>
  </si>
  <si>
    <t>PKG110</t>
  </si>
  <si>
    <t>C115</t>
  </si>
  <si>
    <t>PKG111</t>
  </si>
  <si>
    <t>PKG112</t>
  </si>
  <si>
    <t>PKG113</t>
  </si>
  <si>
    <t>PKG114</t>
  </si>
  <si>
    <t>PKG115</t>
  </si>
  <si>
    <t>PKG116</t>
  </si>
  <si>
    <t>PKG117</t>
  </si>
  <si>
    <t>PKG118</t>
  </si>
  <si>
    <t>PKG119</t>
  </si>
  <si>
    <t>PKG120</t>
  </si>
  <si>
    <t>PKG121</t>
  </si>
  <si>
    <t>PKG122</t>
  </si>
  <si>
    <t>PKG123</t>
  </si>
  <si>
    <t>PKG124</t>
  </si>
  <si>
    <t>PKG125</t>
  </si>
  <si>
    <t>PKG126</t>
  </si>
  <si>
    <t>PKG127</t>
  </si>
  <si>
    <t>PKG128</t>
  </si>
  <si>
    <t>PKG129</t>
  </si>
  <si>
    <t>PKG130</t>
  </si>
  <si>
    <t>PKG131</t>
  </si>
  <si>
    <t>PKG132</t>
  </si>
  <si>
    <t>PKG133</t>
  </si>
  <si>
    <t>PKG134</t>
  </si>
  <si>
    <t>PKG135</t>
  </si>
  <si>
    <t>PKG136</t>
  </si>
  <si>
    <t>PKG137</t>
  </si>
  <si>
    <t>PKG138</t>
  </si>
  <si>
    <t>PKG139</t>
  </si>
  <si>
    <t>PKG140</t>
  </si>
  <si>
    <t>PKG141</t>
  </si>
  <si>
    <t>PKG142</t>
  </si>
  <si>
    <t>PKG143</t>
  </si>
  <si>
    <t>PKG144</t>
  </si>
  <si>
    <t>C113</t>
  </si>
  <si>
    <t>PKG145</t>
  </si>
  <si>
    <t>PKG146</t>
  </si>
  <si>
    <t>PKG147</t>
  </si>
  <si>
    <t>PKG148</t>
  </si>
  <si>
    <t>PKG149</t>
  </si>
  <si>
    <t>PKG150</t>
  </si>
  <si>
    <t>PKG151</t>
  </si>
  <si>
    <t>PKG152</t>
  </si>
  <si>
    <t>PKG153</t>
  </si>
  <si>
    <t>PKG154</t>
  </si>
  <si>
    <t>PKG155</t>
  </si>
  <si>
    <t>PKG156</t>
  </si>
  <si>
    <t>PKG157</t>
  </si>
  <si>
    <t>PKG158</t>
  </si>
  <si>
    <t>PKG159</t>
  </si>
  <si>
    <t>PKG160</t>
  </si>
  <si>
    <t>PKG161</t>
  </si>
  <si>
    <t>PKG162</t>
  </si>
  <si>
    <t>PKG163</t>
  </si>
  <si>
    <t>PKG164</t>
  </si>
  <si>
    <t>PKG165</t>
  </si>
  <si>
    <t>PKG166</t>
  </si>
  <si>
    <t>PKG167</t>
  </si>
  <si>
    <t>PKG168</t>
  </si>
  <si>
    <t>PKG169</t>
  </si>
  <si>
    <t>PKG170</t>
  </si>
  <si>
    <t>PKG171</t>
  </si>
  <si>
    <t>PKG172</t>
  </si>
  <si>
    <t>PKG173</t>
  </si>
  <si>
    <t>PKG174</t>
  </si>
  <si>
    <t>PKG175</t>
  </si>
  <si>
    <t>PKG176</t>
  </si>
  <si>
    <t>PKG177</t>
  </si>
  <si>
    <t>PKG178</t>
  </si>
  <si>
    <t>PKG179</t>
  </si>
  <si>
    <t>PKG180</t>
  </si>
  <si>
    <t>PKG181</t>
  </si>
  <si>
    <t>PKG182</t>
  </si>
  <si>
    <t>PKG183</t>
  </si>
  <si>
    <t>PKG184</t>
  </si>
  <si>
    <t>PKG185</t>
  </si>
  <si>
    <t>PKG186</t>
  </si>
  <si>
    <t>PKG187</t>
  </si>
  <si>
    <t>PKG188</t>
  </si>
  <si>
    <t>PKG189</t>
  </si>
  <si>
    <t>PKG190</t>
  </si>
  <si>
    <t>PKG191</t>
  </si>
  <si>
    <t>PKG192</t>
  </si>
  <si>
    <t>PKG193</t>
  </si>
  <si>
    <t>PKG194</t>
  </si>
  <si>
    <t>PKG195</t>
  </si>
  <si>
    <t>PKG196</t>
  </si>
  <si>
    <t>PKG197</t>
  </si>
  <si>
    <t>PKG198</t>
  </si>
  <si>
    <t>PKG199</t>
  </si>
  <si>
    <t>PKG200</t>
  </si>
  <si>
    <t>Total_Delivery_Hours</t>
  </si>
  <si>
    <t>Fulfillment_Hours</t>
  </si>
  <si>
    <t>Pickup_Lag_Hours</t>
  </si>
  <si>
    <t>SLA_Breach</t>
  </si>
  <si>
    <t>Is_Delayed</t>
  </si>
  <si>
    <t>KPI's</t>
  </si>
  <si>
    <t>Total Packages</t>
  </si>
  <si>
    <t>SLA Breach Rate</t>
  </si>
  <si>
    <t>Avg Fulfillment Hours</t>
  </si>
  <si>
    <t>% Delayed</t>
  </si>
  <si>
    <t>Avg Delivery Hours</t>
  </si>
  <si>
    <t>Row Labels</t>
  </si>
  <si>
    <t>Grand Total</t>
  </si>
  <si>
    <t>Average of Total_Delivery_Hours</t>
  </si>
  <si>
    <t>Average of Pickup_Lag_Hours</t>
  </si>
  <si>
    <t>Count of package_id</t>
  </si>
  <si>
    <t>Breach %</t>
  </si>
  <si>
    <t>Average of Fulfillment_Hours</t>
  </si>
  <si>
    <t>Sum of Is_Delayed</t>
  </si>
  <si>
    <t>Average of order_value</t>
  </si>
  <si>
    <t>Delay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</si>
</sst>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thami priya bheri" refreshedDate="45987.779142939813" backgroundQuery="1" createdVersion="8" refreshedVersion="8" minRefreshableVersion="3" recordCount="0" supportSubquery="1" supportAdvancedDrill="1" xr:uid="{B540F207-497D-4834-A9DE-C59A889E9129}">
  <cacheSource type="external" connectionId="1"/>
  <cacheFields count="4">
    <cacheField name="[Measures].[Breach %]" caption="Breach %" numFmtId="0" hierarchy="28" level="32767"/>
    <cacheField name="[Analysis].[warehouse].[warehouse]" caption="warehouse" numFmtId="0" hierarchy="3" level="1">
      <sharedItems count="5">
        <s v="BLR1"/>
        <s v="CHN1"/>
        <s v="DEL1"/>
        <s v="HYD1"/>
        <s v="MUM1"/>
      </sharedItems>
    </cacheField>
    <cacheField name="[Measures].[Average of Fulfillment_Hours]" caption="Average of Fulfillment_Hours" numFmtId="0" hierarchy="24" level="32767"/>
    <cacheField name="[Measures].[Sum of Is_Delayed]" caption="Sum of Is_Delayed" numFmtId="0" hierarchy="25" level="32767"/>
  </cacheFields>
  <cacheHierarchies count="32">
    <cacheHierarchy uniqueName="[Analysis].[package_id]" caption="package_id" attribute="1" defaultMemberUniqueName="[Analysis].[package_id].[All]" allUniqueName="[Analysis].[package_id].[All]" dimensionUniqueName="[Analysis]" displayFolder="" count="0" memberValueDatatype="130" unbalanced="0"/>
    <cacheHierarchy uniqueName="[Analysis].[courier_id]" caption="courier_id" attribute="1" defaultMemberUniqueName="[Analysis].[courier_id].[All]" allUniqueName="[Analysis].[courier_id].[All]" dimensionUniqueName="[Analysis]" displayFolder="" count="0" memberValueDatatype="130" unbalanced="0"/>
    <cacheHierarchy uniqueName="[Analysis].[city]" caption="city" attribute="1" defaultMemberUniqueName="[Analysis].[city].[All]" allUniqueName="[Analysis].[city].[All]" dimensionUniqueName="[Analysis]" displayFolder="" count="0" memberValueDatatype="130" unbalanced="0"/>
    <cacheHierarchy uniqueName="[Analysis].[warehouse]" caption="warehouse" attribute="1" defaultMemberUniqueName="[Analysis].[warehouse].[All]" allUniqueName="[Analysis].[warehouse].[All]" dimensionUniqueName="[Analysis]" displayFolder="" count="2" memberValueDatatype="130" unbalanced="0">
      <fieldsUsage count="2">
        <fieldUsage x="-1"/>
        <fieldUsage x="1"/>
      </fieldsUsage>
    </cacheHierarchy>
    <cacheHierarchy uniqueName="[Analysis].[category]" caption="category" attribute="1" defaultMemberUniqueName="[Analysis].[category].[All]" allUniqueName="[Analysis].[category].[All]" dimensionUniqueName="[Analysis]" displayFolder="" count="0" memberValueDatatype="130" unbalanced="0"/>
    <cacheHierarchy uniqueName="[Analysis].[order_value]" caption="order_value" attribute="1" defaultMemberUniqueName="[Analysis].[order_value].[All]" allUniqueName="[Analysis].[order_value].[All]" dimensionUniqueName="[Analysis]" displayFolder="" count="0" memberValueDatatype="20" unbalanced="0"/>
    <cacheHierarchy uniqueName="[Analysis].[accept_time]" caption="accept_time" attribute="1" time="1" defaultMemberUniqueName="[Analysis].[accept_time].[All]" allUniqueName="[Analysis].[accept_time].[All]" dimensionUniqueName="[Analysis]" displayFolder="" count="0" memberValueDatatype="7" unbalanced="0"/>
    <cacheHierarchy uniqueName="[Analysis].[pickup_time]" caption="pickup_time" attribute="1" time="1" defaultMemberUniqueName="[Analysis].[pickup_time].[All]" allUniqueName="[Analysis].[pickup_time].[All]" dimensionUniqueName="[Analysis]" displayFolder="" count="0" memberValueDatatype="7" unbalanced="0"/>
    <cacheHierarchy uniqueName="[Analysis].[delivery_time]" caption="delivery_time" attribute="1" time="1" defaultMemberUniqueName="[Analysis].[delivery_time].[All]" allUniqueName="[Analysis].[delivery_time].[All]" dimensionUniqueName="[Analysis]" displayFolder="" count="0" memberValueDatatype="7" unbalanced="0"/>
    <cacheHierarchy uniqueName="[Analysis].[distance_km]" caption="distance_km" attribute="1" defaultMemberUniqueName="[Analysis].[distance_km].[All]" allUniqueName="[Analysis].[distance_km].[All]" dimensionUniqueName="[Analysis]" displayFolder="" count="0" memberValueDatatype="5" unbalanced="0"/>
    <cacheHierarchy uniqueName="[Analysis].[delay_reason]" caption="delay_reason" attribute="1" defaultMemberUniqueName="[Analysis].[delay_reason].[All]" allUniqueName="[Analysis].[delay_reason].[All]" dimensionUniqueName="[Analysis]" displayFolder="" count="0" memberValueDatatype="130" unbalanced="0"/>
    <cacheHierarchy uniqueName="[Analysis].[sla_delivery_hrs]" caption="sla_delivery_hrs" attribute="1" defaultMemberUniqueName="[Analysis].[sla_delivery_hrs].[All]" allUniqueName="[Analysis].[sla_delivery_hrs].[All]" dimensionUniqueName="[Analysis]" displayFolder="" count="0" memberValueDatatype="20" unbalanced="0"/>
    <cacheHierarchy uniqueName="[Analysis].[Total_Delivery_Hours]" caption="Total_Delivery_Hours" attribute="1" defaultMemberUniqueName="[Analysis].[Total_Delivery_Hours].[All]" allUniqueName="[Analysis].[Total_Delivery_Hours].[All]" dimensionUniqueName="[Analysis]" displayFolder="" count="0" memberValueDatatype="5" unbalanced="0"/>
    <cacheHierarchy uniqueName="[Analysis].[Fulfillment_Hours]" caption="Fulfillment_Hours" attribute="1" defaultMemberUniqueName="[Analysis].[Fulfillment_Hours].[All]" allUniqueName="[Analysis].[Fulfillment_Hours].[All]" dimensionUniqueName="[Analysis]" displayFolder="" count="0" memberValueDatatype="5" unbalanced="0"/>
    <cacheHierarchy uniqueName="[Analysis].[Pickup_Lag_Hours]" caption="Pickup_Lag_Hours" attribute="1" defaultMemberUniqueName="[Analysis].[Pickup_Lag_Hours].[All]" allUniqueName="[Analysis].[Pickup_Lag_Hours].[All]" dimensionUniqueName="[Analysis]" displayFolder="" count="0" memberValueDatatype="5" unbalanced="0"/>
    <cacheHierarchy uniqueName="[Analysis].[SLA_Breach]" caption="SLA_Breach" attribute="1" defaultMemberUniqueName="[Analysis].[SLA_Breach].[All]" allUniqueName="[Analysis].[SLA_Breach].[All]" dimensionUniqueName="[Analysis]" displayFolder="" count="0" memberValueDatatype="130" unbalanced="0"/>
    <cacheHierarchy uniqueName="[Analysis].[Is_Delayed]" caption="Is_Delayed" attribute="1" defaultMemberUniqueName="[Analysis].[Is_Delayed].[All]" allUniqueName="[Analysis].[Is_Delayed].[All]" dimensionUniqueName="[Analysis]" displayFolder="" count="0" memberValueDatatype="20" unbalanced="0"/>
    <cacheHierarchy uniqueName="[Measures].[Sum of Total_Delivery_Hours]" caption="Sum of Total_Delivery_Hours" measure="1" displayFolder="" measureGroup="Analysi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otal_Delivery_Hours]" caption="Average of Total_Delivery_Hours" measure="1" displayFolder="" measureGroup="Analysi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ickup_Lag_Hours]" caption="Sum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ickup_Lag_Hours]" caption="Average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ackage_id]" caption="Count of package_id" measure="1" displayFolder="" measureGroup="Analysi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LA_Breach]" caption="Count of SLA_Breach" measure="1" displayFolder="" measureGroup="Analysi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ulfillment_Hours]" caption="Sum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lfillment_Hours]" caption="Average of Fulfillment_Hours" measure="1" displayFolder="" measureGroup="Analysi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s_Delayed]" caption="Sum of Is_Delayed" measure="1" displayFolder="" measureGroup="Analysi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value]" caption="Sum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rder_value]" caption="Average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Breach %]" caption="Breach %" measure="1" displayFolder="" measureGroup="Analysis" count="0" oneField="1">
      <fieldsUsage count="1">
        <fieldUsage x="0"/>
      </fieldsUsage>
    </cacheHierarchy>
    <cacheHierarchy uniqueName="[Measures].[Delay %]" caption="Delay %" measure="1" displayFolder="" measureGroup="Analysis" count="0"/>
    <cacheHierarchy uniqueName="[Measures].[__XL_Count Analysis]" caption="__XL_Count Analysis" measure="1" displayFolder="" measureGroup="Analysis" count="0" hidden="1"/>
    <cacheHierarchy uniqueName="[Measures].[__No measures defined]" caption="__No measures defined" measure="1" displayFolder="" count="0" hidden="1"/>
  </cacheHierarchies>
  <kpis count="0"/>
  <dimensions count="2">
    <dimension name="Analysis" uniqueName="[Analysis]" caption="Analysis"/>
    <dimension measure="1" name="Measures" uniqueName="[Measures]" caption="Measures"/>
  </dimensions>
  <measureGroups count="1">
    <measureGroup name="Analysis" caption="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thami priya bheri" refreshedDate="45987.754441203702" backgroundQuery="1" createdVersion="8" refreshedVersion="8" minRefreshableVersion="3" recordCount="0" supportSubquery="1" supportAdvancedDrill="1" xr:uid="{B53C3FD6-2081-4C9E-B7D0-041DB4E169A5}">
  <cacheSource type="external" connectionId="1"/>
  <cacheFields count="4">
    <cacheField name="[Analysis].[courier_id].[courier_id]" caption="courier_id" numFmtId="0" hierarchy="1" level="1">
      <sharedItems count="40"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</sharedItems>
    </cacheField>
    <cacheField name="[Measures].[Count of package_id]" caption="Count of package_id" numFmtId="0" hierarchy="21" level="32767"/>
    <cacheField name="[Measures].[Average of Total_Delivery_Hours]" caption="Average of Total_Delivery_Hours" numFmtId="0" hierarchy="18" level="32767"/>
    <cacheField name="[Measures].[Average of Pickup_Lag_Hours]" caption="Average of Pickup_Lag_Hours" numFmtId="0" hierarchy="20" level="32767"/>
  </cacheFields>
  <cacheHierarchies count="32">
    <cacheHierarchy uniqueName="[Analysis].[package_id]" caption="package_id" attribute="1" defaultMemberUniqueName="[Analysis].[package_id].[All]" allUniqueName="[Analysis].[package_id].[All]" dimensionUniqueName="[Analysis]" displayFolder="" count="0" memberValueDatatype="130" unbalanced="0"/>
    <cacheHierarchy uniqueName="[Analysis].[courier_id]" caption="courier_id" attribute="1" defaultMemberUniqueName="[Analysis].[courier_id].[All]" allUniqueName="[Analysis].[courier_id].[All]" dimensionUniqueName="[Analysis]" displayFolder="" count="2" memberValueDatatype="130" unbalanced="0">
      <fieldsUsage count="2">
        <fieldUsage x="-1"/>
        <fieldUsage x="0"/>
      </fieldsUsage>
    </cacheHierarchy>
    <cacheHierarchy uniqueName="[Analysis].[city]" caption="city" attribute="1" defaultMemberUniqueName="[Analysis].[city].[All]" allUniqueName="[Analysis].[city].[All]" dimensionUniqueName="[Analysis]" displayFolder="" count="0" memberValueDatatype="130" unbalanced="0"/>
    <cacheHierarchy uniqueName="[Analysis].[warehouse]" caption="warehouse" attribute="1" defaultMemberUniqueName="[Analysis].[warehouse].[All]" allUniqueName="[Analysis].[warehouse].[All]" dimensionUniqueName="[Analysis]" displayFolder="" count="0" memberValueDatatype="130" unbalanced="0"/>
    <cacheHierarchy uniqueName="[Analysis].[category]" caption="category" attribute="1" defaultMemberUniqueName="[Analysis].[category].[All]" allUniqueName="[Analysis].[category].[All]" dimensionUniqueName="[Analysis]" displayFolder="" count="0" memberValueDatatype="130" unbalanced="0"/>
    <cacheHierarchy uniqueName="[Analysis].[order_value]" caption="order_value" attribute="1" defaultMemberUniqueName="[Analysis].[order_value].[All]" allUniqueName="[Analysis].[order_value].[All]" dimensionUniqueName="[Analysis]" displayFolder="" count="0" memberValueDatatype="20" unbalanced="0"/>
    <cacheHierarchy uniqueName="[Analysis].[accept_time]" caption="accept_time" attribute="1" time="1" defaultMemberUniqueName="[Analysis].[accept_time].[All]" allUniqueName="[Analysis].[accept_time].[All]" dimensionUniqueName="[Analysis]" displayFolder="" count="0" memberValueDatatype="7" unbalanced="0"/>
    <cacheHierarchy uniqueName="[Analysis].[pickup_time]" caption="pickup_time" attribute="1" time="1" defaultMemberUniqueName="[Analysis].[pickup_time].[All]" allUniqueName="[Analysis].[pickup_time].[All]" dimensionUniqueName="[Analysis]" displayFolder="" count="0" memberValueDatatype="7" unbalanced="0"/>
    <cacheHierarchy uniqueName="[Analysis].[delivery_time]" caption="delivery_time" attribute="1" time="1" defaultMemberUniqueName="[Analysis].[delivery_time].[All]" allUniqueName="[Analysis].[delivery_time].[All]" dimensionUniqueName="[Analysis]" displayFolder="" count="0" memberValueDatatype="7" unbalanced="0"/>
    <cacheHierarchy uniqueName="[Analysis].[distance_km]" caption="distance_km" attribute="1" defaultMemberUniqueName="[Analysis].[distance_km].[All]" allUniqueName="[Analysis].[distance_km].[All]" dimensionUniqueName="[Analysis]" displayFolder="" count="0" memberValueDatatype="5" unbalanced="0"/>
    <cacheHierarchy uniqueName="[Analysis].[delay_reason]" caption="delay_reason" attribute="1" defaultMemberUniqueName="[Analysis].[delay_reason].[All]" allUniqueName="[Analysis].[delay_reason].[All]" dimensionUniqueName="[Analysis]" displayFolder="" count="0" memberValueDatatype="130" unbalanced="0"/>
    <cacheHierarchy uniqueName="[Analysis].[sla_delivery_hrs]" caption="sla_delivery_hrs" attribute="1" defaultMemberUniqueName="[Analysis].[sla_delivery_hrs].[All]" allUniqueName="[Analysis].[sla_delivery_hrs].[All]" dimensionUniqueName="[Analysis]" displayFolder="" count="0" memberValueDatatype="20" unbalanced="0"/>
    <cacheHierarchy uniqueName="[Analysis].[Total_Delivery_Hours]" caption="Total_Delivery_Hours" attribute="1" defaultMemberUniqueName="[Analysis].[Total_Delivery_Hours].[All]" allUniqueName="[Analysis].[Total_Delivery_Hours].[All]" dimensionUniqueName="[Analysis]" displayFolder="" count="0" memberValueDatatype="5" unbalanced="0"/>
    <cacheHierarchy uniqueName="[Analysis].[Fulfillment_Hours]" caption="Fulfillment_Hours" attribute="1" defaultMemberUniqueName="[Analysis].[Fulfillment_Hours].[All]" allUniqueName="[Analysis].[Fulfillment_Hours].[All]" dimensionUniqueName="[Analysis]" displayFolder="" count="0" memberValueDatatype="5" unbalanced="0"/>
    <cacheHierarchy uniqueName="[Analysis].[Pickup_Lag_Hours]" caption="Pickup_Lag_Hours" attribute="1" defaultMemberUniqueName="[Analysis].[Pickup_Lag_Hours].[All]" allUniqueName="[Analysis].[Pickup_Lag_Hours].[All]" dimensionUniqueName="[Analysis]" displayFolder="" count="0" memberValueDatatype="5" unbalanced="0"/>
    <cacheHierarchy uniqueName="[Analysis].[SLA_Breach]" caption="SLA_Breach" attribute="1" defaultMemberUniqueName="[Analysis].[SLA_Breach].[All]" allUniqueName="[Analysis].[SLA_Breach].[All]" dimensionUniqueName="[Analysis]" displayFolder="" count="0" memberValueDatatype="130" unbalanced="0"/>
    <cacheHierarchy uniqueName="[Analysis].[Is_Delayed]" caption="Is_Delayed" attribute="1" defaultMemberUniqueName="[Analysis].[Is_Delayed].[All]" allUniqueName="[Analysis].[Is_Delayed].[All]" dimensionUniqueName="[Analysis]" displayFolder="" count="0" memberValueDatatype="20" unbalanced="0"/>
    <cacheHierarchy uniqueName="[Measures].[Sum of Total_Delivery_Hours]" caption="Sum of Total_Delivery_Hours" measure="1" displayFolder="" measureGroup="Analysi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otal_Delivery_Hours]" caption="Average of Total_Delivery_Hours" measure="1" displayFolder="" measureGroup="Analysi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ickup_Lag_Hours]" caption="Sum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ickup_Lag_Hours]" caption="Average of Pickup_Lag_Hours" measure="1" displayFolder="" measureGroup="Analysi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ackage_id]" caption="Count of package_id" measure="1" displayFolder="" measureGroup="Analysi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LA_Breach]" caption="Count of SLA_Breach" measure="1" displayFolder="" measureGroup="Analysi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ulfillment_Hours]" caption="Sum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lfillment_Hours]" caption="Average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s_Delayed]" caption="Sum of Is_Delayed" measure="1" displayFolder="" measureGroup="Analysi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value]" caption="Sum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rder_value]" caption="Average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Breach %]" caption="Breach %" measure="1" displayFolder="" measureGroup="Analysis" count="0"/>
    <cacheHierarchy uniqueName="[Measures].[Delay %]" caption="Delay %" measure="1" displayFolder="" measureGroup="Analysis" count="0"/>
    <cacheHierarchy uniqueName="[Measures].[__XL_Count Analysis]" caption="__XL_Count Analysis" measure="1" displayFolder="" measureGroup="Analysis" count="0" hidden="1"/>
    <cacheHierarchy uniqueName="[Measures].[__No measures defined]" caption="__No measures defined" measure="1" displayFolder="" count="0" hidden="1"/>
  </cacheHierarchies>
  <kpis count="0"/>
  <dimensions count="2">
    <dimension name="Analysis" uniqueName="[Analysis]" caption="Analysis"/>
    <dimension measure="1" name="Measures" uniqueName="[Measures]" caption="Measures"/>
  </dimensions>
  <measureGroups count="1">
    <measureGroup name="Analysis" caption="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thami priya bheri" refreshedDate="45987.740525694448" backgroundQuery="1" createdVersion="8" refreshedVersion="8" minRefreshableVersion="3" recordCount="0" supportSubquery="1" supportAdvancedDrill="1" xr:uid="{1424A751-55AD-4BEF-B1F1-83E0AADE2F2D}">
  <cacheSource type="external" connectionId="1"/>
  <cacheFields count="4">
    <cacheField name="[Analysis].[city].[city]" caption="city" numFmtId="0" hierarchy="2" level="1">
      <sharedItems count="5">
        <s v="Bangalore"/>
        <s v="Chennai"/>
        <s v="Delhi"/>
        <s v="Hyderabad"/>
        <s v="Mumbai"/>
      </sharedItems>
    </cacheField>
    <cacheField name="[Measures].[Average of Total_Delivery_Hours]" caption="Average of Total_Delivery_Hours" numFmtId="0" hierarchy="18" level="32767"/>
    <cacheField name="[Measures].[Count of package_id]" caption="Count of package_id" numFmtId="0" hierarchy="21" level="32767"/>
    <cacheField name="[Measures].[Breach %]" caption="Breach %" numFmtId="0" hierarchy="28" level="32767"/>
  </cacheFields>
  <cacheHierarchies count="32">
    <cacheHierarchy uniqueName="[Analysis].[package_id]" caption="package_id" attribute="1" defaultMemberUniqueName="[Analysis].[package_id].[All]" allUniqueName="[Analysis].[package_id].[All]" dimensionUniqueName="[Analysis]" displayFolder="" count="0" memberValueDatatype="130" unbalanced="0"/>
    <cacheHierarchy uniqueName="[Analysis].[courier_id]" caption="courier_id" attribute="1" defaultMemberUniqueName="[Analysis].[courier_id].[All]" allUniqueName="[Analysis].[courier_id].[All]" dimensionUniqueName="[Analysis]" displayFolder="" count="0" memberValueDatatype="130" unbalanced="0"/>
    <cacheHierarchy uniqueName="[Analysis].[city]" caption="city" attribute="1" defaultMemberUniqueName="[Analysis].[city].[All]" allUniqueName="[Analysis].[city].[All]" dimensionUniqueName="[Analysis]" displayFolder="" count="2" memberValueDatatype="130" unbalanced="0">
      <fieldsUsage count="2">
        <fieldUsage x="-1"/>
        <fieldUsage x="0"/>
      </fieldsUsage>
    </cacheHierarchy>
    <cacheHierarchy uniqueName="[Analysis].[warehouse]" caption="warehouse" attribute="1" defaultMemberUniqueName="[Analysis].[warehouse].[All]" allUniqueName="[Analysis].[warehouse].[All]" dimensionUniqueName="[Analysis]" displayFolder="" count="0" memberValueDatatype="130" unbalanced="0"/>
    <cacheHierarchy uniqueName="[Analysis].[category]" caption="category" attribute="1" defaultMemberUniqueName="[Analysis].[category].[All]" allUniqueName="[Analysis].[category].[All]" dimensionUniqueName="[Analysis]" displayFolder="" count="0" memberValueDatatype="130" unbalanced="0"/>
    <cacheHierarchy uniqueName="[Analysis].[order_value]" caption="order_value" attribute="1" defaultMemberUniqueName="[Analysis].[order_value].[All]" allUniqueName="[Analysis].[order_value].[All]" dimensionUniqueName="[Analysis]" displayFolder="" count="0" memberValueDatatype="20" unbalanced="0"/>
    <cacheHierarchy uniqueName="[Analysis].[accept_time]" caption="accept_time" attribute="1" time="1" defaultMemberUniqueName="[Analysis].[accept_time].[All]" allUniqueName="[Analysis].[accept_time].[All]" dimensionUniqueName="[Analysis]" displayFolder="" count="0" memberValueDatatype="7" unbalanced="0"/>
    <cacheHierarchy uniqueName="[Analysis].[pickup_time]" caption="pickup_time" attribute="1" time="1" defaultMemberUniqueName="[Analysis].[pickup_time].[All]" allUniqueName="[Analysis].[pickup_time].[All]" dimensionUniqueName="[Analysis]" displayFolder="" count="0" memberValueDatatype="7" unbalanced="0"/>
    <cacheHierarchy uniqueName="[Analysis].[delivery_time]" caption="delivery_time" attribute="1" time="1" defaultMemberUniqueName="[Analysis].[delivery_time].[All]" allUniqueName="[Analysis].[delivery_time].[All]" dimensionUniqueName="[Analysis]" displayFolder="" count="0" memberValueDatatype="7" unbalanced="0"/>
    <cacheHierarchy uniqueName="[Analysis].[distance_km]" caption="distance_km" attribute="1" defaultMemberUniqueName="[Analysis].[distance_km].[All]" allUniqueName="[Analysis].[distance_km].[All]" dimensionUniqueName="[Analysis]" displayFolder="" count="0" memberValueDatatype="5" unbalanced="0"/>
    <cacheHierarchy uniqueName="[Analysis].[delay_reason]" caption="delay_reason" attribute="1" defaultMemberUniqueName="[Analysis].[delay_reason].[All]" allUniqueName="[Analysis].[delay_reason].[All]" dimensionUniqueName="[Analysis]" displayFolder="" count="0" memberValueDatatype="130" unbalanced="0"/>
    <cacheHierarchy uniqueName="[Analysis].[sla_delivery_hrs]" caption="sla_delivery_hrs" attribute="1" defaultMemberUniqueName="[Analysis].[sla_delivery_hrs].[All]" allUniqueName="[Analysis].[sla_delivery_hrs].[All]" dimensionUniqueName="[Analysis]" displayFolder="" count="0" memberValueDatatype="20" unbalanced="0"/>
    <cacheHierarchy uniqueName="[Analysis].[Total_Delivery_Hours]" caption="Total_Delivery_Hours" attribute="1" defaultMemberUniqueName="[Analysis].[Total_Delivery_Hours].[All]" allUniqueName="[Analysis].[Total_Delivery_Hours].[All]" dimensionUniqueName="[Analysis]" displayFolder="" count="0" memberValueDatatype="5" unbalanced="0"/>
    <cacheHierarchy uniqueName="[Analysis].[Fulfillment_Hours]" caption="Fulfillment_Hours" attribute="1" defaultMemberUniqueName="[Analysis].[Fulfillment_Hours].[All]" allUniqueName="[Analysis].[Fulfillment_Hours].[All]" dimensionUniqueName="[Analysis]" displayFolder="" count="0" memberValueDatatype="5" unbalanced="0"/>
    <cacheHierarchy uniqueName="[Analysis].[Pickup_Lag_Hours]" caption="Pickup_Lag_Hours" attribute="1" defaultMemberUniqueName="[Analysis].[Pickup_Lag_Hours].[All]" allUniqueName="[Analysis].[Pickup_Lag_Hours].[All]" dimensionUniqueName="[Analysis]" displayFolder="" count="0" memberValueDatatype="5" unbalanced="0"/>
    <cacheHierarchy uniqueName="[Analysis].[SLA_Breach]" caption="SLA_Breach" attribute="1" defaultMemberUniqueName="[Analysis].[SLA_Breach].[All]" allUniqueName="[Analysis].[SLA_Breach].[All]" dimensionUniqueName="[Analysis]" displayFolder="" count="0" memberValueDatatype="130" unbalanced="0"/>
    <cacheHierarchy uniqueName="[Analysis].[Is_Delayed]" caption="Is_Delayed" attribute="1" defaultMemberUniqueName="[Analysis].[Is_Delayed].[All]" allUniqueName="[Analysis].[Is_Delayed].[All]" dimensionUniqueName="[Analysis]" displayFolder="" count="0" memberValueDatatype="20" unbalanced="0"/>
    <cacheHierarchy uniqueName="[Measures].[Sum of Total_Delivery_Hours]" caption="Sum of Total_Delivery_Hours" measure="1" displayFolder="" measureGroup="Analysi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otal_Delivery_Hours]" caption="Average of Total_Delivery_Hours" measure="1" displayFolder="" measureGroup="Analysi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ickup_Lag_Hours]" caption="Sum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ickup_Lag_Hours]" caption="Average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ackage_id]" caption="Count of package_id" measure="1" displayFolder="" measureGroup="Analysi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LA_Breach]" caption="Count of SLA_Breach" measure="1" displayFolder="" measureGroup="Analysi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ulfillment_Hours]" caption="Sum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lfillment_Hours]" caption="Average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s_Delayed]" caption="Sum of Is_Delayed" measure="1" displayFolder="" measureGroup="Analysi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value]" caption="Sum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rder_value]" caption="Average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Breach %]" caption="Breach %" measure="1" displayFolder="" measureGroup="Analysis" count="0" oneField="1">
      <fieldsUsage count="1">
        <fieldUsage x="3"/>
      </fieldsUsage>
    </cacheHierarchy>
    <cacheHierarchy uniqueName="[Measures].[Delay %]" caption="Delay %" measure="1" displayFolder="" measureGroup="Analysis" count="0"/>
    <cacheHierarchy uniqueName="[Measures].[__XL_Count Analysis]" caption="__XL_Count Analysis" measure="1" displayFolder="" measureGroup="Analysis" count="0" hidden="1"/>
    <cacheHierarchy uniqueName="[Measures].[__No measures defined]" caption="__No measures defined" measure="1" displayFolder="" count="0" hidden="1"/>
  </cacheHierarchies>
  <kpis count="0"/>
  <dimensions count="2">
    <dimension name="Analysis" uniqueName="[Analysis]" caption="Analysis"/>
    <dimension measure="1" name="Measures" uniqueName="[Measures]" caption="Measures"/>
  </dimensions>
  <measureGroups count="1">
    <measureGroup name="Analysis" caption="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thami priya bheri" refreshedDate="45987.784617708334" backgroundQuery="1" createdVersion="8" refreshedVersion="8" minRefreshableVersion="3" recordCount="0" supportSubquery="1" supportAdvancedDrill="1" xr:uid="{D76CD12D-2F97-4033-832A-67922CFA9188}">
  <cacheSource type="external" connectionId="1"/>
  <cacheFields count="4">
    <cacheField name="[Analysis].[category].[category]" caption="category" numFmtId="0" hierarchy="4" level="1">
      <sharedItems count="6">
        <s v="Apparel"/>
        <s v="Beauty"/>
        <s v="Electronics"/>
        <s v="Grocery"/>
        <s v="Home"/>
        <s v="Stationery"/>
      </sharedItems>
    </cacheField>
    <cacheField name="[Measures].[Average of order_value]" caption="Average of order_value" numFmtId="0" hierarchy="27" level="32767"/>
    <cacheField name="[Measures].[Average of Total_Delivery_Hours]" caption="Average of Total_Delivery_Hours" numFmtId="0" hierarchy="18" level="32767"/>
    <cacheField name="[Measures].[Delay %]" caption="Delay %" numFmtId="0" hierarchy="29" level="32767"/>
  </cacheFields>
  <cacheHierarchies count="32">
    <cacheHierarchy uniqueName="[Analysis].[package_id]" caption="package_id" attribute="1" defaultMemberUniqueName="[Analysis].[package_id].[All]" allUniqueName="[Analysis].[package_id].[All]" dimensionUniqueName="[Analysis]" displayFolder="" count="0" memberValueDatatype="130" unbalanced="0"/>
    <cacheHierarchy uniqueName="[Analysis].[courier_id]" caption="courier_id" attribute="1" defaultMemberUniqueName="[Analysis].[courier_id].[All]" allUniqueName="[Analysis].[courier_id].[All]" dimensionUniqueName="[Analysis]" displayFolder="" count="0" memberValueDatatype="130" unbalanced="0"/>
    <cacheHierarchy uniqueName="[Analysis].[city]" caption="city" attribute="1" defaultMemberUniqueName="[Analysis].[city].[All]" allUniqueName="[Analysis].[city].[All]" dimensionUniqueName="[Analysis]" displayFolder="" count="0" memberValueDatatype="130" unbalanced="0"/>
    <cacheHierarchy uniqueName="[Analysis].[warehouse]" caption="warehouse" attribute="1" defaultMemberUniqueName="[Analysis].[warehouse].[All]" allUniqueName="[Analysis].[warehouse].[All]" dimensionUniqueName="[Analysis]" displayFolder="" count="0" memberValueDatatype="130" unbalanced="0"/>
    <cacheHierarchy uniqueName="[Analysis].[category]" caption="category" attribute="1" defaultMemberUniqueName="[Analysis].[category].[All]" allUniqueName="[Analysis].[category].[All]" dimensionUniqueName="[Analysis]" displayFolder="" count="2" memberValueDatatype="130" unbalanced="0">
      <fieldsUsage count="2">
        <fieldUsage x="-1"/>
        <fieldUsage x="0"/>
      </fieldsUsage>
    </cacheHierarchy>
    <cacheHierarchy uniqueName="[Analysis].[order_value]" caption="order_value" attribute="1" defaultMemberUniqueName="[Analysis].[order_value].[All]" allUniqueName="[Analysis].[order_value].[All]" dimensionUniqueName="[Analysis]" displayFolder="" count="0" memberValueDatatype="20" unbalanced="0"/>
    <cacheHierarchy uniqueName="[Analysis].[accept_time]" caption="accept_time" attribute="1" time="1" defaultMemberUniqueName="[Analysis].[accept_time].[All]" allUniqueName="[Analysis].[accept_time].[All]" dimensionUniqueName="[Analysis]" displayFolder="" count="0" memberValueDatatype="7" unbalanced="0"/>
    <cacheHierarchy uniqueName="[Analysis].[pickup_time]" caption="pickup_time" attribute="1" time="1" defaultMemberUniqueName="[Analysis].[pickup_time].[All]" allUniqueName="[Analysis].[pickup_time].[All]" dimensionUniqueName="[Analysis]" displayFolder="" count="0" memberValueDatatype="7" unbalanced="0"/>
    <cacheHierarchy uniqueName="[Analysis].[delivery_time]" caption="delivery_time" attribute="1" time="1" defaultMemberUniqueName="[Analysis].[delivery_time].[All]" allUniqueName="[Analysis].[delivery_time].[All]" dimensionUniqueName="[Analysis]" displayFolder="" count="0" memberValueDatatype="7" unbalanced="0"/>
    <cacheHierarchy uniqueName="[Analysis].[distance_km]" caption="distance_km" attribute="1" defaultMemberUniqueName="[Analysis].[distance_km].[All]" allUniqueName="[Analysis].[distance_km].[All]" dimensionUniqueName="[Analysis]" displayFolder="" count="0" memberValueDatatype="5" unbalanced="0"/>
    <cacheHierarchy uniqueName="[Analysis].[delay_reason]" caption="delay_reason" attribute="1" defaultMemberUniqueName="[Analysis].[delay_reason].[All]" allUniqueName="[Analysis].[delay_reason].[All]" dimensionUniqueName="[Analysis]" displayFolder="" count="0" memberValueDatatype="130" unbalanced="0"/>
    <cacheHierarchy uniqueName="[Analysis].[sla_delivery_hrs]" caption="sla_delivery_hrs" attribute="1" defaultMemberUniqueName="[Analysis].[sla_delivery_hrs].[All]" allUniqueName="[Analysis].[sla_delivery_hrs].[All]" dimensionUniqueName="[Analysis]" displayFolder="" count="0" memberValueDatatype="20" unbalanced="0"/>
    <cacheHierarchy uniqueName="[Analysis].[Total_Delivery_Hours]" caption="Total_Delivery_Hours" attribute="1" defaultMemberUniqueName="[Analysis].[Total_Delivery_Hours].[All]" allUniqueName="[Analysis].[Total_Delivery_Hours].[All]" dimensionUniqueName="[Analysis]" displayFolder="" count="0" memberValueDatatype="5" unbalanced="0"/>
    <cacheHierarchy uniqueName="[Analysis].[Fulfillment_Hours]" caption="Fulfillment_Hours" attribute="1" defaultMemberUniqueName="[Analysis].[Fulfillment_Hours].[All]" allUniqueName="[Analysis].[Fulfillment_Hours].[All]" dimensionUniqueName="[Analysis]" displayFolder="" count="0" memberValueDatatype="5" unbalanced="0"/>
    <cacheHierarchy uniqueName="[Analysis].[Pickup_Lag_Hours]" caption="Pickup_Lag_Hours" attribute="1" defaultMemberUniqueName="[Analysis].[Pickup_Lag_Hours].[All]" allUniqueName="[Analysis].[Pickup_Lag_Hours].[All]" dimensionUniqueName="[Analysis]" displayFolder="" count="0" memberValueDatatype="5" unbalanced="0"/>
    <cacheHierarchy uniqueName="[Analysis].[SLA_Breach]" caption="SLA_Breach" attribute="1" defaultMemberUniqueName="[Analysis].[SLA_Breach].[All]" allUniqueName="[Analysis].[SLA_Breach].[All]" dimensionUniqueName="[Analysis]" displayFolder="" count="0" memberValueDatatype="130" unbalanced="0"/>
    <cacheHierarchy uniqueName="[Analysis].[Is_Delayed]" caption="Is_Delayed" attribute="1" defaultMemberUniqueName="[Analysis].[Is_Delayed].[All]" allUniqueName="[Analysis].[Is_Delayed].[All]" dimensionUniqueName="[Analysis]" displayFolder="" count="0" memberValueDatatype="20" unbalanced="0"/>
    <cacheHierarchy uniqueName="[Measures].[Sum of Total_Delivery_Hours]" caption="Sum of Total_Delivery_Hours" measure="1" displayFolder="" measureGroup="Analysi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otal_Delivery_Hours]" caption="Average of Total_Delivery_Hours" measure="1" displayFolder="" measureGroup="Analysi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ickup_Lag_Hours]" caption="Sum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ickup_Lag_Hours]" caption="Average of Pickup_Lag_Hours" measure="1" displayFolder="" measureGroup="Analysi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ackage_id]" caption="Count of package_id" measure="1" displayFolder="" measureGroup="Analysi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LA_Breach]" caption="Count of SLA_Breach" measure="1" displayFolder="" measureGroup="Analysi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ulfillment_Hours]" caption="Sum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ulfillment_Hours]" caption="Average of Fulfillment_Hours" measure="1" displayFolder="" measureGroup="Analysi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s_Delayed]" caption="Sum of Is_Delayed" measure="1" displayFolder="" measureGroup="Analysi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_value]" caption="Sum of order_value" measure="1" displayFolder="" measureGroup="Analysi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rder_value]" caption="Average of order_value" measure="1" displayFolder="" measureGroup="Analysi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Breach %]" caption="Breach %" measure="1" displayFolder="" measureGroup="Analysis" count="0"/>
    <cacheHierarchy uniqueName="[Measures].[Delay %]" caption="Delay %" measure="1" displayFolder="" measureGroup="Analysis" count="0" oneField="1">
      <fieldsUsage count="1">
        <fieldUsage x="3"/>
      </fieldsUsage>
    </cacheHierarchy>
    <cacheHierarchy uniqueName="[Measures].[__XL_Count Analysis]" caption="__XL_Count Analysis" measure="1" displayFolder="" measureGroup="Analysis" count="0" hidden="1"/>
    <cacheHierarchy uniqueName="[Measures].[__No measures defined]" caption="__No measures defined" measure="1" displayFolder="" count="0" hidden="1"/>
  </cacheHierarchies>
  <kpis count="0"/>
  <dimensions count="2">
    <dimension name="Analysis" uniqueName="[Analysis]" caption="Analysis"/>
    <dimension measure="1" name="Measures" uniqueName="[Measures]" caption="Measures"/>
  </dimensions>
  <measureGroups count="1">
    <measureGroup name="Analysis" caption="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1764A-A0CE-49C6-A447-CF2ED335C89F}" name="PivotTable3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2:E68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ulfillment_Hours" fld="2" subtotal="average" baseField="1" baseItem="0"/>
    <dataField fld="0" subtotal="count" baseField="0" baseItem="0" numFmtId="9"/>
    <dataField name="Sum of Is_Delayed" fld="3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Delivery_Hours"/>
    <pivotHierarchy dragToData="1"/>
    <pivotHierarchy dragToData="1" caption="Average of Pickup_Lag_Hours"/>
    <pivotHierarchy dragToData="1"/>
    <pivotHierarchy dragToData="1"/>
    <pivotHierarchy dragToData="1"/>
    <pivotHierarchy dragToData="1" caption="Average of Fulfillment_Hours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livery_performance_analysis1.xlsx!Analysis">
        <x15:activeTabTopLevelEntity name="[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5FDEE-81A2-42B3-B932-06B6CA5F700A}" name="PivotTable2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E59" firstHeaderRow="0" firstDataRow="1" firstDataCol="1"/>
  <pivotFields count="4">
    <pivotField axis="axisRow" allDrilled="1" subtotalTop="0" showAll="0" sortType="descending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1">
    <i>
      <x v="2"/>
    </i>
    <i>
      <x v="34"/>
    </i>
    <i>
      <x v="9"/>
    </i>
    <i>
      <x v="29"/>
    </i>
    <i>
      <x v="20"/>
    </i>
    <i>
      <x v="33"/>
    </i>
    <i>
      <x v="31"/>
    </i>
    <i>
      <x v="12"/>
    </i>
    <i>
      <x v="10"/>
    </i>
    <i>
      <x v="7"/>
    </i>
    <i>
      <x v="36"/>
    </i>
    <i>
      <x v="27"/>
    </i>
    <i>
      <x v="16"/>
    </i>
    <i>
      <x v="3"/>
    </i>
    <i>
      <x v="14"/>
    </i>
    <i>
      <x v="1"/>
    </i>
    <i>
      <x/>
    </i>
    <i>
      <x v="38"/>
    </i>
    <i>
      <x v="19"/>
    </i>
    <i>
      <x v="26"/>
    </i>
    <i>
      <x v="30"/>
    </i>
    <i>
      <x v="5"/>
    </i>
    <i>
      <x v="18"/>
    </i>
    <i>
      <x v="11"/>
    </i>
    <i>
      <x v="15"/>
    </i>
    <i>
      <x v="39"/>
    </i>
    <i>
      <x v="25"/>
    </i>
    <i>
      <x v="22"/>
    </i>
    <i>
      <x v="8"/>
    </i>
    <i>
      <x v="23"/>
    </i>
    <i>
      <x v="17"/>
    </i>
    <i>
      <x v="6"/>
    </i>
    <i>
      <x v="24"/>
    </i>
    <i>
      <x v="13"/>
    </i>
    <i>
      <x v="4"/>
    </i>
    <i>
      <x v="35"/>
    </i>
    <i>
      <x v="28"/>
    </i>
    <i>
      <x v="32"/>
    </i>
    <i>
      <x v="21"/>
    </i>
    <i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ackage_id" fld="1" subtotal="count" baseField="0" baseItem="0"/>
    <dataField name="Average of Total_Delivery_Hours" fld="2" subtotal="average" baseField="0" baseItem="0"/>
    <dataField name="Average of Pickup_Lag_Hours" fld="3" subtotal="average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Delivery_Hours"/>
    <pivotHierarchy dragToData="1"/>
    <pivotHierarchy dragToData="1" caption="Average of Pickup_Lag_Hou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livery_performance_analysis1.xlsx!Analysis">
        <x15:activeTabTopLevelEntity name="[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529A-D778-4524-9186-C93EDD92B81D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E15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Delivery_Hours" fld="1" subtotal="average" baseField="0" baseItem="0"/>
    <dataField name="Count of package_id" fld="2" subtotal="count" baseField="0" baseItem="0"/>
    <dataField fld="3" subtotal="count" baseField="0" baseItem="0" numFmtId="9"/>
  </dataFields>
  <formats count="1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Delivery_Hours"/>
    <pivotHierarchy dragToData="1"/>
    <pivotHierarchy dragToData="1" caption="Average of Pickup_Lag_Hou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livery_performance_analysis1.xlsx!Analysis">
        <x15:activeTabTopLevelEntity name="[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985F4-A706-4F6A-8C7E-ADED0AC2B10E}" name="PivotTable4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1:E78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order_value" fld="1" subtotal="average" baseField="0" baseItem="0"/>
    <dataField name="Average of Total_Delivery_Hours" fld="2" subtotal="average" baseField="0" baseItem="0"/>
    <dataField fld="3" subtotal="count" baseField="0" baseItem="0" numFmtId="9"/>
  </dataFields>
  <formats count="1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Delivery_Hours"/>
    <pivotHierarchy dragToData="1"/>
    <pivotHierarchy dragToData="1" caption="Average of Pickup_Lag_Hours"/>
    <pivotHierarchy dragToData="1"/>
    <pivotHierarchy dragToData="1"/>
    <pivotHierarchy dragToData="1"/>
    <pivotHierarchy dragToData="1" caption="Average of Fulfillment_Hours"/>
    <pivotHierarchy dragToData="1"/>
    <pivotHierarchy dragToData="1"/>
    <pivotHierarchy dragToData="1" caption="Average of order_val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livery_performance_analysis1.xlsx!Analysis">
        <x15:activeTabTopLevelEntity name="[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9B138-16C6-4085-9666-539C2B4699A0}" name="Analysis" displayName="Analysis" ref="A1:Q201" totalsRowShown="0">
  <autoFilter ref="A1:Q201" xr:uid="{8D39B138-16C6-4085-9666-539C2B4699A0}"/>
  <tableColumns count="17">
    <tableColumn id="1" xr3:uid="{654EDF17-3131-4F47-8629-AA61D5EDA8B0}" name="package_id"/>
    <tableColumn id="2" xr3:uid="{56CCA367-41FD-44DF-BAA4-CBD67B757F3F}" name="courier_id"/>
    <tableColumn id="3" xr3:uid="{7BF7FC9B-640B-4CDD-BFAC-E9666F5BEC93}" name="city"/>
    <tableColumn id="4" xr3:uid="{42C92622-7C39-4554-A508-A3945CB7EAF5}" name="warehouse"/>
    <tableColumn id="5" xr3:uid="{DC725F71-ADCF-4786-BF3E-B4A19A8DF4EE}" name="category"/>
    <tableColumn id="6" xr3:uid="{F724F706-7DAA-4CCC-AF95-4C842EA6B4A4}" name="order_value"/>
    <tableColumn id="7" xr3:uid="{EA3FB8FB-4CE1-4DD1-B685-B51CC63B41FA}" name="accept_time" dataDxfId="10"/>
    <tableColumn id="8" xr3:uid="{EBF4C375-85C0-4344-B6BB-8A36A2FD5526}" name="pickup_time" dataDxfId="9"/>
    <tableColumn id="9" xr3:uid="{8797926E-D841-409C-96E5-4A34FA2D6204}" name="delivery_time" dataDxfId="8"/>
    <tableColumn id="10" xr3:uid="{197C70E0-79EF-4B36-84F1-40583AFB2533}" name="distance_km"/>
    <tableColumn id="11" xr3:uid="{AA588A72-3078-4F9D-8D14-6C750E606A1C}" name="delay_reason"/>
    <tableColumn id="12" xr3:uid="{7F81E7EE-6282-440A-BB24-9AAEFA831051}" name="sla_delivery_hrs"/>
    <tableColumn id="13" xr3:uid="{809E453C-399F-4C97-81DB-6A7D488F0EE9}" name="Total_Delivery_Hours" dataDxfId="7">
      <calculatedColumnFormula>(Analysis[[#This Row],[delivery_time]]-Analysis[[#This Row],[pickup_time]])*24</calculatedColumnFormula>
    </tableColumn>
    <tableColumn id="14" xr3:uid="{9BEA02D9-9D2E-40AB-AE55-71E71D162D3D}" name="Fulfillment_Hours" dataDxfId="6">
      <calculatedColumnFormula>(Analysis[[#This Row],[delivery_time]]-Analysis[[#This Row],[accept_time]])*24</calculatedColumnFormula>
    </tableColumn>
    <tableColumn id="15" xr3:uid="{8DF158EB-BCA3-46A4-8810-BB5D827EDAF9}" name="Pickup_Lag_Hours" dataDxfId="5">
      <calculatedColumnFormula>(Analysis[[#This Row],[pickup_time]]-Analysis[[#This Row],[accept_time]])*24</calculatedColumnFormula>
    </tableColumn>
    <tableColumn id="16" xr3:uid="{2C327D3F-0871-45D4-B227-0E8B45571054}" name="SLA_Breach" dataDxfId="4">
      <calculatedColumnFormula>IF(Analysis[[#This Row],[Total_Delivery_Hours]]&gt;Analysis[[#This Row],[sla_delivery_hrs]], "Breach", "OK")</calculatedColumnFormula>
    </tableColumn>
    <tableColumn id="17" xr3:uid="{0263578C-EF55-4202-80F3-F0CEBC64F946}" name="Is_Delayed" dataDxfId="3">
      <calculatedColumnFormula>IF(Analysis[[#This Row],[delay_reason]]="None", 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18F2-12E1-4587-94F4-B620639BAD54}">
  <dimension ref="A1:L201"/>
  <sheetViews>
    <sheetView workbookViewId="0">
      <selection activeCell="F7" sqref="F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399</v>
      </c>
      <c r="G2" s="1">
        <v>45444.572916666664</v>
      </c>
      <c r="H2" s="1">
        <v>45444.640277777777</v>
      </c>
      <c r="I2" s="1">
        <v>45445.473611111112</v>
      </c>
      <c r="J2">
        <v>19.28</v>
      </c>
      <c r="K2" t="s">
        <v>17</v>
      </c>
      <c r="L2">
        <v>12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299</v>
      </c>
      <c r="G3" s="1">
        <v>45444.535416666666</v>
      </c>
      <c r="H3" s="1">
        <v>45444.6</v>
      </c>
      <c r="I3" s="1">
        <v>45445.058333333334</v>
      </c>
      <c r="J3">
        <v>7.66</v>
      </c>
      <c r="K3" t="s">
        <v>23</v>
      </c>
      <c r="L3">
        <v>12</v>
      </c>
    </row>
    <row r="4" spans="1:12" x14ac:dyDescent="0.25">
      <c r="A4" t="s">
        <v>24</v>
      </c>
      <c r="B4" t="s">
        <v>25</v>
      </c>
      <c r="C4" t="s">
        <v>20</v>
      </c>
      <c r="D4" t="s">
        <v>21</v>
      </c>
      <c r="E4" t="s">
        <v>26</v>
      </c>
      <c r="F4">
        <v>399</v>
      </c>
      <c r="G4" s="1">
        <v>45444.783333333333</v>
      </c>
      <c r="H4" s="1">
        <v>45444.859027777777</v>
      </c>
      <c r="I4" s="1">
        <v>45445.442361111112</v>
      </c>
      <c r="J4">
        <v>14.49</v>
      </c>
      <c r="K4" t="s">
        <v>17</v>
      </c>
      <c r="L4">
        <v>12</v>
      </c>
    </row>
    <row r="5" spans="1:12" x14ac:dyDescent="0.25">
      <c r="A5" t="s">
        <v>27</v>
      </c>
      <c r="B5" t="s">
        <v>28</v>
      </c>
      <c r="C5" t="s">
        <v>14</v>
      </c>
      <c r="D5" t="s">
        <v>15</v>
      </c>
      <c r="E5" t="s">
        <v>29</v>
      </c>
      <c r="F5">
        <v>299</v>
      </c>
      <c r="G5" s="1">
        <v>45444.700694444444</v>
      </c>
      <c r="H5" s="1">
        <v>45444.745138888888</v>
      </c>
      <c r="I5" s="1">
        <v>45445.536805555559</v>
      </c>
      <c r="J5">
        <v>13.45</v>
      </c>
      <c r="K5" t="s">
        <v>30</v>
      </c>
      <c r="L5">
        <v>12</v>
      </c>
    </row>
    <row r="6" spans="1:12" x14ac:dyDescent="0.25">
      <c r="A6" t="s">
        <v>31</v>
      </c>
      <c r="B6" t="s">
        <v>13</v>
      </c>
      <c r="C6" t="s">
        <v>20</v>
      </c>
      <c r="D6" t="s">
        <v>21</v>
      </c>
      <c r="E6" t="s">
        <v>26</v>
      </c>
      <c r="F6">
        <v>499</v>
      </c>
      <c r="G6" s="1">
        <v>45444.510416666664</v>
      </c>
      <c r="H6" s="1">
        <v>45444.533333333333</v>
      </c>
      <c r="I6" s="1">
        <v>45444.783333333333</v>
      </c>
      <c r="J6">
        <v>9.85</v>
      </c>
      <c r="K6" t="s">
        <v>23</v>
      </c>
      <c r="L6">
        <v>12</v>
      </c>
    </row>
    <row r="7" spans="1:12" x14ac:dyDescent="0.25">
      <c r="A7" t="s">
        <v>32</v>
      </c>
      <c r="B7" t="s">
        <v>33</v>
      </c>
      <c r="C7" t="s">
        <v>20</v>
      </c>
      <c r="D7" t="s">
        <v>21</v>
      </c>
      <c r="E7" t="s">
        <v>34</v>
      </c>
      <c r="F7">
        <v>399</v>
      </c>
      <c r="G7" s="1">
        <v>45444.776388888888</v>
      </c>
      <c r="H7" s="1">
        <v>45444.82708333333</v>
      </c>
      <c r="I7" s="1">
        <v>45445.035416666666</v>
      </c>
      <c r="J7">
        <v>16.989999999999998</v>
      </c>
      <c r="K7" t="s">
        <v>30</v>
      </c>
      <c r="L7">
        <v>12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22</v>
      </c>
      <c r="F8">
        <v>2499</v>
      </c>
      <c r="G8" s="1">
        <v>45444.595833333333</v>
      </c>
      <c r="H8" s="1">
        <v>45444.656944444447</v>
      </c>
      <c r="I8" s="1">
        <v>45444.906944444447</v>
      </c>
      <c r="J8">
        <v>22.89</v>
      </c>
      <c r="K8" t="s">
        <v>30</v>
      </c>
      <c r="L8">
        <v>12</v>
      </c>
    </row>
    <row r="9" spans="1:12" x14ac:dyDescent="0.25">
      <c r="A9" t="s">
        <v>39</v>
      </c>
      <c r="B9" t="s">
        <v>40</v>
      </c>
      <c r="C9" t="s">
        <v>41</v>
      </c>
      <c r="D9" t="s">
        <v>42</v>
      </c>
      <c r="E9" t="s">
        <v>34</v>
      </c>
      <c r="F9">
        <v>499</v>
      </c>
      <c r="G9" s="1">
        <v>45444.479861111111</v>
      </c>
      <c r="H9" s="1">
        <v>45444.513194444444</v>
      </c>
      <c r="I9" s="1">
        <v>45445.263194444444</v>
      </c>
      <c r="J9">
        <v>21.88</v>
      </c>
      <c r="K9" t="s">
        <v>17</v>
      </c>
      <c r="L9">
        <v>12</v>
      </c>
    </row>
    <row r="10" spans="1:12" x14ac:dyDescent="0.25">
      <c r="A10" t="s">
        <v>43</v>
      </c>
      <c r="B10" t="s">
        <v>44</v>
      </c>
      <c r="C10" t="s">
        <v>45</v>
      </c>
      <c r="D10" t="s">
        <v>46</v>
      </c>
      <c r="E10" t="s">
        <v>34</v>
      </c>
      <c r="F10">
        <v>1499</v>
      </c>
      <c r="G10" s="1">
        <v>45444.699305555558</v>
      </c>
      <c r="H10" s="1">
        <v>45444.724305555559</v>
      </c>
      <c r="I10" s="1">
        <v>45445.474305555559</v>
      </c>
      <c r="J10">
        <v>10.220000000000001</v>
      </c>
      <c r="K10" t="s">
        <v>30</v>
      </c>
      <c r="L10">
        <v>12</v>
      </c>
    </row>
    <row r="11" spans="1:12" x14ac:dyDescent="0.25">
      <c r="A11" t="s">
        <v>47</v>
      </c>
      <c r="B11" t="s">
        <v>48</v>
      </c>
      <c r="C11" t="s">
        <v>14</v>
      </c>
      <c r="D11" t="s">
        <v>15</v>
      </c>
      <c r="E11" t="s">
        <v>29</v>
      </c>
      <c r="F11">
        <v>2499</v>
      </c>
      <c r="G11" s="1">
        <v>45444.495833333334</v>
      </c>
      <c r="H11" s="1">
        <v>45444.529861111114</v>
      </c>
      <c r="I11" s="1">
        <v>45445.196527777778</v>
      </c>
      <c r="J11">
        <v>22.91</v>
      </c>
      <c r="K11" t="s">
        <v>23</v>
      </c>
      <c r="L11">
        <v>12</v>
      </c>
    </row>
    <row r="12" spans="1:12" x14ac:dyDescent="0.25">
      <c r="A12" t="s">
        <v>49</v>
      </c>
      <c r="B12" t="s">
        <v>50</v>
      </c>
      <c r="C12" t="s">
        <v>20</v>
      </c>
      <c r="D12" t="s">
        <v>21</v>
      </c>
      <c r="E12" t="s">
        <v>26</v>
      </c>
      <c r="F12">
        <v>499</v>
      </c>
      <c r="G12" s="1">
        <v>45444.676388888889</v>
      </c>
      <c r="H12" s="1">
        <v>45444.750694444447</v>
      </c>
      <c r="I12" s="1">
        <v>45445.417361111111</v>
      </c>
      <c r="J12">
        <v>23.61</v>
      </c>
      <c r="K12" t="s">
        <v>17</v>
      </c>
      <c r="L12">
        <v>12</v>
      </c>
    </row>
    <row r="13" spans="1:12" x14ac:dyDescent="0.25">
      <c r="A13" t="s">
        <v>51</v>
      </c>
      <c r="B13" t="s">
        <v>52</v>
      </c>
      <c r="C13" t="s">
        <v>37</v>
      </c>
      <c r="D13" t="s">
        <v>38</v>
      </c>
      <c r="E13" t="s">
        <v>16</v>
      </c>
      <c r="F13">
        <v>2499</v>
      </c>
      <c r="G13" s="1">
        <v>45444.550694444442</v>
      </c>
      <c r="H13" s="1">
        <v>45444.570833333331</v>
      </c>
      <c r="I13" s="1">
        <v>45445.404166666667</v>
      </c>
      <c r="J13">
        <v>22.48</v>
      </c>
      <c r="K13" t="s">
        <v>53</v>
      </c>
      <c r="L13">
        <v>12</v>
      </c>
    </row>
    <row r="14" spans="1:12" x14ac:dyDescent="0.25">
      <c r="A14" t="s">
        <v>54</v>
      </c>
      <c r="B14" t="s">
        <v>55</v>
      </c>
      <c r="C14" t="s">
        <v>41</v>
      </c>
      <c r="D14" t="s">
        <v>42</v>
      </c>
      <c r="E14" t="s">
        <v>22</v>
      </c>
      <c r="F14">
        <v>499</v>
      </c>
      <c r="G14" s="1">
        <v>45444.707638888889</v>
      </c>
      <c r="H14" s="1">
        <v>45444.729861111111</v>
      </c>
      <c r="I14" s="1">
        <v>45445.313194444447</v>
      </c>
      <c r="J14">
        <v>12.59</v>
      </c>
      <c r="K14" t="s">
        <v>23</v>
      </c>
      <c r="L14">
        <v>12</v>
      </c>
    </row>
    <row r="15" spans="1:12" x14ac:dyDescent="0.25">
      <c r="A15" t="s">
        <v>56</v>
      </c>
      <c r="B15" t="s">
        <v>57</v>
      </c>
      <c r="C15" t="s">
        <v>45</v>
      </c>
      <c r="D15" t="s">
        <v>46</v>
      </c>
      <c r="E15" t="s">
        <v>16</v>
      </c>
      <c r="F15">
        <v>299</v>
      </c>
      <c r="G15" s="1">
        <v>45444.538194444445</v>
      </c>
      <c r="H15" s="1">
        <v>45444.554166666669</v>
      </c>
      <c r="I15" s="1">
        <v>45444.887499999997</v>
      </c>
      <c r="J15">
        <v>16.510000000000002</v>
      </c>
      <c r="K15" t="s">
        <v>17</v>
      </c>
      <c r="L15">
        <v>12</v>
      </c>
    </row>
    <row r="16" spans="1:12" x14ac:dyDescent="0.25">
      <c r="A16" t="s">
        <v>58</v>
      </c>
      <c r="B16" t="s">
        <v>44</v>
      </c>
      <c r="C16" t="s">
        <v>41</v>
      </c>
      <c r="D16" t="s">
        <v>42</v>
      </c>
      <c r="E16" t="s">
        <v>16</v>
      </c>
      <c r="F16">
        <v>1299</v>
      </c>
      <c r="G16" s="1">
        <v>45444.646527777775</v>
      </c>
      <c r="H16" s="1">
        <v>45444.692361111112</v>
      </c>
      <c r="I16" s="1">
        <v>45444.859027777777</v>
      </c>
      <c r="J16">
        <v>22.66</v>
      </c>
      <c r="K16" t="s">
        <v>23</v>
      </c>
      <c r="L16">
        <v>12</v>
      </c>
    </row>
    <row r="17" spans="1:12" x14ac:dyDescent="0.25">
      <c r="A17" t="s">
        <v>59</v>
      </c>
      <c r="B17" t="s">
        <v>13</v>
      </c>
      <c r="C17" t="s">
        <v>45</v>
      </c>
      <c r="D17" t="s">
        <v>46</v>
      </c>
      <c r="E17" t="s">
        <v>26</v>
      </c>
      <c r="F17">
        <v>399</v>
      </c>
      <c r="G17" s="1">
        <v>45444.729166666664</v>
      </c>
      <c r="H17" s="1">
        <v>45444.788194444445</v>
      </c>
      <c r="I17" s="1">
        <v>45444.996527777781</v>
      </c>
      <c r="J17">
        <v>12.2</v>
      </c>
      <c r="K17" t="s">
        <v>30</v>
      </c>
      <c r="L17">
        <v>12</v>
      </c>
    </row>
    <row r="18" spans="1:12" x14ac:dyDescent="0.25">
      <c r="A18" t="s">
        <v>60</v>
      </c>
      <c r="B18" t="s">
        <v>55</v>
      </c>
      <c r="C18" t="s">
        <v>45</v>
      </c>
      <c r="D18" t="s">
        <v>46</v>
      </c>
      <c r="E18" t="s">
        <v>16</v>
      </c>
      <c r="F18">
        <v>1499</v>
      </c>
      <c r="G18" s="1">
        <v>45444.495138888888</v>
      </c>
      <c r="H18" s="1">
        <v>45444.578472222223</v>
      </c>
      <c r="I18" s="1">
        <v>45445.078472222223</v>
      </c>
      <c r="J18">
        <v>14.93</v>
      </c>
      <c r="K18" t="s">
        <v>17</v>
      </c>
      <c r="L18">
        <v>12</v>
      </c>
    </row>
    <row r="19" spans="1:12" x14ac:dyDescent="0.25">
      <c r="A19" t="s">
        <v>61</v>
      </c>
      <c r="B19" t="s">
        <v>62</v>
      </c>
      <c r="C19" t="s">
        <v>20</v>
      </c>
      <c r="D19" t="s">
        <v>21</v>
      </c>
      <c r="E19" t="s">
        <v>34</v>
      </c>
      <c r="F19">
        <v>499</v>
      </c>
      <c r="G19" s="1">
        <v>45444.706944444442</v>
      </c>
      <c r="H19" s="1">
        <v>45444.720833333333</v>
      </c>
      <c r="I19" s="1">
        <v>45445.220833333333</v>
      </c>
      <c r="J19">
        <v>24.24</v>
      </c>
      <c r="K19" t="s">
        <v>53</v>
      </c>
      <c r="L19">
        <v>12</v>
      </c>
    </row>
    <row r="20" spans="1:12" x14ac:dyDescent="0.25">
      <c r="A20" t="s">
        <v>63</v>
      </c>
      <c r="B20" t="s">
        <v>64</v>
      </c>
      <c r="C20" t="s">
        <v>20</v>
      </c>
      <c r="D20" t="s">
        <v>21</v>
      </c>
      <c r="E20" t="s">
        <v>34</v>
      </c>
      <c r="F20">
        <v>1999</v>
      </c>
      <c r="G20" s="1">
        <v>45444.700694444444</v>
      </c>
      <c r="H20" s="1">
        <v>45444.779861111114</v>
      </c>
      <c r="I20" s="1">
        <v>45445.321527777778</v>
      </c>
      <c r="J20">
        <v>9.42</v>
      </c>
      <c r="K20" t="s">
        <v>17</v>
      </c>
      <c r="L20">
        <v>12</v>
      </c>
    </row>
    <row r="21" spans="1:12" x14ac:dyDescent="0.25">
      <c r="A21" t="s">
        <v>65</v>
      </c>
      <c r="B21" t="s">
        <v>66</v>
      </c>
      <c r="C21" t="s">
        <v>20</v>
      </c>
      <c r="D21" t="s">
        <v>21</v>
      </c>
      <c r="E21" t="s">
        <v>29</v>
      </c>
      <c r="F21">
        <v>499</v>
      </c>
      <c r="G21" s="1">
        <v>45444.536805555559</v>
      </c>
      <c r="H21" s="1">
        <v>45444.585416666669</v>
      </c>
      <c r="I21" s="1">
        <v>45445.252083333333</v>
      </c>
      <c r="J21">
        <v>7.56</v>
      </c>
      <c r="K21" t="s">
        <v>53</v>
      </c>
      <c r="L21">
        <v>12</v>
      </c>
    </row>
    <row r="22" spans="1:12" x14ac:dyDescent="0.25">
      <c r="A22" t="s">
        <v>67</v>
      </c>
      <c r="B22" t="s">
        <v>19</v>
      </c>
      <c r="C22" t="s">
        <v>20</v>
      </c>
      <c r="D22" t="s">
        <v>21</v>
      </c>
      <c r="E22" t="s">
        <v>68</v>
      </c>
      <c r="F22">
        <v>699</v>
      </c>
      <c r="G22" s="1">
        <v>45444.606249999997</v>
      </c>
      <c r="H22" s="1">
        <v>45444.668749999997</v>
      </c>
      <c r="I22" s="1">
        <v>45445.418749999997</v>
      </c>
      <c r="J22">
        <v>7.13</v>
      </c>
      <c r="K22" t="s">
        <v>17</v>
      </c>
      <c r="L22">
        <v>12</v>
      </c>
    </row>
    <row r="23" spans="1:12" x14ac:dyDescent="0.25">
      <c r="A23" t="s">
        <v>69</v>
      </c>
      <c r="B23" t="s">
        <v>70</v>
      </c>
      <c r="C23" t="s">
        <v>41</v>
      </c>
      <c r="D23" t="s">
        <v>42</v>
      </c>
      <c r="E23" t="s">
        <v>26</v>
      </c>
      <c r="F23">
        <v>399</v>
      </c>
      <c r="G23" s="1">
        <v>45444.43472222222</v>
      </c>
      <c r="H23" s="1">
        <v>45444.45416666667</v>
      </c>
      <c r="I23" s="1">
        <v>45444.912499999999</v>
      </c>
      <c r="J23">
        <v>21.13</v>
      </c>
      <c r="K23" t="s">
        <v>17</v>
      </c>
      <c r="L23">
        <v>12</v>
      </c>
    </row>
    <row r="24" spans="1:12" x14ac:dyDescent="0.25">
      <c r="A24" t="s">
        <v>71</v>
      </c>
      <c r="B24" t="s">
        <v>72</v>
      </c>
      <c r="C24" t="s">
        <v>41</v>
      </c>
      <c r="D24" t="s">
        <v>42</v>
      </c>
      <c r="E24" t="s">
        <v>26</v>
      </c>
      <c r="F24">
        <v>299</v>
      </c>
      <c r="G24" s="1">
        <v>45444.78125</v>
      </c>
      <c r="H24" s="1">
        <v>45444.856249999997</v>
      </c>
      <c r="I24" s="1">
        <v>45445.189583333333</v>
      </c>
      <c r="J24">
        <v>18.98</v>
      </c>
      <c r="K24" t="s">
        <v>23</v>
      </c>
      <c r="L24">
        <v>12</v>
      </c>
    </row>
    <row r="25" spans="1:12" x14ac:dyDescent="0.25">
      <c r="A25" t="s">
        <v>73</v>
      </c>
      <c r="B25" t="s">
        <v>44</v>
      </c>
      <c r="C25" t="s">
        <v>14</v>
      </c>
      <c r="D25" t="s">
        <v>15</v>
      </c>
      <c r="E25" t="s">
        <v>26</v>
      </c>
      <c r="F25">
        <v>2499</v>
      </c>
      <c r="G25" s="1">
        <v>45444.465277777781</v>
      </c>
      <c r="H25" s="1">
        <v>45444.479861111111</v>
      </c>
      <c r="I25" s="1">
        <v>45445.021527777775</v>
      </c>
      <c r="J25">
        <v>13.45</v>
      </c>
      <c r="K25" t="s">
        <v>17</v>
      </c>
      <c r="L25">
        <v>12</v>
      </c>
    </row>
    <row r="26" spans="1:12" x14ac:dyDescent="0.25">
      <c r="A26" t="s">
        <v>74</v>
      </c>
      <c r="B26" t="s">
        <v>75</v>
      </c>
      <c r="C26" t="s">
        <v>14</v>
      </c>
      <c r="D26" t="s">
        <v>15</v>
      </c>
      <c r="E26" t="s">
        <v>68</v>
      </c>
      <c r="F26">
        <v>199</v>
      </c>
      <c r="G26" s="1">
        <v>45444.665972222225</v>
      </c>
      <c r="H26" s="1">
        <v>45444.688888888886</v>
      </c>
      <c r="I26" s="1">
        <v>45445.438888888886</v>
      </c>
      <c r="J26">
        <v>14.57</v>
      </c>
      <c r="K26" t="s">
        <v>23</v>
      </c>
      <c r="L26">
        <v>12</v>
      </c>
    </row>
    <row r="27" spans="1:12" x14ac:dyDescent="0.25">
      <c r="A27" t="s">
        <v>76</v>
      </c>
      <c r="B27" t="s">
        <v>57</v>
      </c>
      <c r="C27" t="s">
        <v>37</v>
      </c>
      <c r="D27" t="s">
        <v>38</v>
      </c>
      <c r="E27" t="s">
        <v>34</v>
      </c>
      <c r="F27">
        <v>299</v>
      </c>
      <c r="G27" s="1">
        <v>45444.509027777778</v>
      </c>
      <c r="H27" s="1">
        <v>45444.54791666667</v>
      </c>
      <c r="I27" s="1">
        <v>45444.79791666667</v>
      </c>
      <c r="J27">
        <v>10.96</v>
      </c>
      <c r="K27" t="s">
        <v>30</v>
      </c>
      <c r="L27">
        <v>12</v>
      </c>
    </row>
    <row r="28" spans="1:12" x14ac:dyDescent="0.25">
      <c r="A28" t="s">
        <v>77</v>
      </c>
      <c r="B28" t="s">
        <v>78</v>
      </c>
      <c r="C28" t="s">
        <v>14</v>
      </c>
      <c r="D28" t="s">
        <v>15</v>
      </c>
      <c r="E28" t="s">
        <v>34</v>
      </c>
      <c r="F28">
        <v>1499</v>
      </c>
      <c r="G28" s="1">
        <v>45444.583333333336</v>
      </c>
      <c r="H28" s="1">
        <v>45444.616666666669</v>
      </c>
      <c r="I28" s="1">
        <v>45445.033333333333</v>
      </c>
      <c r="J28">
        <v>6.13</v>
      </c>
      <c r="K28" t="s">
        <v>30</v>
      </c>
      <c r="L28">
        <v>12</v>
      </c>
    </row>
    <row r="29" spans="1:12" x14ac:dyDescent="0.25">
      <c r="A29" t="s">
        <v>79</v>
      </c>
      <c r="B29" t="s">
        <v>70</v>
      </c>
      <c r="C29" t="s">
        <v>45</v>
      </c>
      <c r="D29" t="s">
        <v>46</v>
      </c>
      <c r="E29" t="s">
        <v>68</v>
      </c>
      <c r="F29">
        <v>199</v>
      </c>
      <c r="G29" s="1">
        <v>45444.490277777775</v>
      </c>
      <c r="H29" s="1">
        <v>45444.529166666667</v>
      </c>
      <c r="I29" s="1">
        <v>45444.904166666667</v>
      </c>
      <c r="J29">
        <v>20.99</v>
      </c>
      <c r="K29" t="s">
        <v>30</v>
      </c>
      <c r="L29">
        <v>12</v>
      </c>
    </row>
    <row r="30" spans="1:12" x14ac:dyDescent="0.25">
      <c r="A30" t="s">
        <v>80</v>
      </c>
      <c r="B30" t="s">
        <v>81</v>
      </c>
      <c r="C30" t="s">
        <v>14</v>
      </c>
      <c r="D30" t="s">
        <v>15</v>
      </c>
      <c r="E30" t="s">
        <v>68</v>
      </c>
      <c r="F30">
        <v>199</v>
      </c>
      <c r="G30" s="1">
        <v>45444.570833333331</v>
      </c>
      <c r="H30" s="1">
        <v>45444.629166666666</v>
      </c>
      <c r="I30" s="1">
        <v>45445.337500000001</v>
      </c>
      <c r="J30">
        <v>19.98</v>
      </c>
      <c r="K30" t="s">
        <v>53</v>
      </c>
      <c r="L30">
        <v>12</v>
      </c>
    </row>
    <row r="31" spans="1:12" x14ac:dyDescent="0.25">
      <c r="A31" t="s">
        <v>82</v>
      </c>
      <c r="B31" t="s">
        <v>52</v>
      </c>
      <c r="C31" t="s">
        <v>45</v>
      </c>
      <c r="D31" t="s">
        <v>46</v>
      </c>
      <c r="E31" t="s">
        <v>68</v>
      </c>
      <c r="F31">
        <v>699</v>
      </c>
      <c r="G31" s="1">
        <v>45444.50277777778</v>
      </c>
      <c r="H31" s="1">
        <v>45444.571527777778</v>
      </c>
      <c r="I31" s="1">
        <v>45444.779861111114</v>
      </c>
      <c r="J31">
        <v>20.52</v>
      </c>
      <c r="K31" t="s">
        <v>30</v>
      </c>
      <c r="L31">
        <v>12</v>
      </c>
    </row>
    <row r="32" spans="1:12" x14ac:dyDescent="0.25">
      <c r="A32" t="s">
        <v>83</v>
      </c>
      <c r="B32" t="s">
        <v>84</v>
      </c>
      <c r="C32" t="s">
        <v>45</v>
      </c>
      <c r="D32" t="s">
        <v>46</v>
      </c>
      <c r="E32" t="s">
        <v>29</v>
      </c>
      <c r="F32">
        <v>399</v>
      </c>
      <c r="G32" s="1">
        <v>45444.557638888888</v>
      </c>
      <c r="H32" s="1">
        <v>45444.581944444442</v>
      </c>
      <c r="I32" s="1">
        <v>45445.331944444442</v>
      </c>
      <c r="J32">
        <v>15.09</v>
      </c>
      <c r="K32" t="s">
        <v>23</v>
      </c>
      <c r="L32">
        <v>12</v>
      </c>
    </row>
    <row r="33" spans="1:12" x14ac:dyDescent="0.25">
      <c r="A33" t="s">
        <v>85</v>
      </c>
      <c r="B33" t="s">
        <v>62</v>
      </c>
      <c r="C33" t="s">
        <v>20</v>
      </c>
      <c r="D33" t="s">
        <v>21</v>
      </c>
      <c r="E33" t="s">
        <v>22</v>
      </c>
      <c r="F33">
        <v>699</v>
      </c>
      <c r="G33" s="1">
        <v>45444.688888888886</v>
      </c>
      <c r="H33" s="1">
        <v>45444.758333333331</v>
      </c>
      <c r="I33" s="1">
        <v>45445.216666666667</v>
      </c>
      <c r="J33">
        <v>10.73</v>
      </c>
      <c r="K33" t="s">
        <v>53</v>
      </c>
      <c r="L33">
        <v>12</v>
      </c>
    </row>
    <row r="34" spans="1:12" x14ac:dyDescent="0.25">
      <c r="A34" t="s">
        <v>86</v>
      </c>
      <c r="B34" t="s">
        <v>40</v>
      </c>
      <c r="C34" t="s">
        <v>14</v>
      </c>
      <c r="D34" t="s">
        <v>15</v>
      </c>
      <c r="E34" t="s">
        <v>29</v>
      </c>
      <c r="F34">
        <v>1999</v>
      </c>
      <c r="G34" s="1">
        <v>45444.436111111114</v>
      </c>
      <c r="H34" s="1">
        <v>45444.513888888891</v>
      </c>
      <c r="I34" s="1">
        <v>45444.847222222219</v>
      </c>
      <c r="J34">
        <v>22.36</v>
      </c>
      <c r="K34" t="s">
        <v>23</v>
      </c>
      <c r="L34">
        <v>12</v>
      </c>
    </row>
    <row r="35" spans="1:12" x14ac:dyDescent="0.25">
      <c r="A35" t="s">
        <v>87</v>
      </c>
      <c r="B35" t="s">
        <v>88</v>
      </c>
      <c r="C35" t="s">
        <v>37</v>
      </c>
      <c r="D35" t="s">
        <v>38</v>
      </c>
      <c r="E35" t="s">
        <v>22</v>
      </c>
      <c r="F35">
        <v>1999</v>
      </c>
      <c r="G35" s="1">
        <v>45444.409722222219</v>
      </c>
      <c r="H35" s="1">
        <v>45444.468055555553</v>
      </c>
      <c r="I35" s="1">
        <v>45444.843055555553</v>
      </c>
      <c r="J35">
        <v>10.119999999999999</v>
      </c>
      <c r="K35" t="s">
        <v>17</v>
      </c>
      <c r="L35">
        <v>12</v>
      </c>
    </row>
    <row r="36" spans="1:12" x14ac:dyDescent="0.25">
      <c r="A36" t="s">
        <v>89</v>
      </c>
      <c r="B36" t="s">
        <v>78</v>
      </c>
      <c r="C36" t="s">
        <v>14</v>
      </c>
      <c r="D36" t="s">
        <v>15</v>
      </c>
      <c r="E36" t="s">
        <v>26</v>
      </c>
      <c r="F36">
        <v>199</v>
      </c>
      <c r="G36" s="1">
        <v>45444.602083333331</v>
      </c>
      <c r="H36" s="1">
        <v>45444.671527777777</v>
      </c>
      <c r="I36" s="1">
        <v>45444.963194444441</v>
      </c>
      <c r="J36">
        <v>16.989999999999998</v>
      </c>
      <c r="K36" t="s">
        <v>30</v>
      </c>
      <c r="L36">
        <v>12</v>
      </c>
    </row>
    <row r="37" spans="1:12" x14ac:dyDescent="0.25">
      <c r="A37" t="s">
        <v>90</v>
      </c>
      <c r="B37" t="s">
        <v>28</v>
      </c>
      <c r="C37" t="s">
        <v>41</v>
      </c>
      <c r="D37" t="s">
        <v>42</v>
      </c>
      <c r="E37" t="s">
        <v>26</v>
      </c>
      <c r="F37">
        <v>399</v>
      </c>
      <c r="G37" s="1">
        <v>45444.638194444444</v>
      </c>
      <c r="H37" s="1">
        <v>45444.683333333334</v>
      </c>
      <c r="I37" s="1">
        <v>45445.433333333334</v>
      </c>
      <c r="J37">
        <v>10.61</v>
      </c>
      <c r="K37" t="s">
        <v>30</v>
      </c>
      <c r="L37">
        <v>12</v>
      </c>
    </row>
    <row r="38" spans="1:12" x14ac:dyDescent="0.25">
      <c r="A38" t="s">
        <v>91</v>
      </c>
      <c r="B38" t="s">
        <v>50</v>
      </c>
      <c r="C38" t="s">
        <v>41</v>
      </c>
      <c r="D38" t="s">
        <v>42</v>
      </c>
      <c r="E38" t="s">
        <v>26</v>
      </c>
      <c r="F38">
        <v>899</v>
      </c>
      <c r="G38" s="1">
        <v>45444.689583333333</v>
      </c>
      <c r="H38" s="1">
        <v>45444.731944444444</v>
      </c>
      <c r="I38" s="1">
        <v>45445.231944444444</v>
      </c>
      <c r="J38">
        <v>22.46</v>
      </c>
      <c r="K38" t="s">
        <v>17</v>
      </c>
      <c r="L38">
        <v>12</v>
      </c>
    </row>
    <row r="39" spans="1:12" x14ac:dyDescent="0.25">
      <c r="A39" t="s">
        <v>92</v>
      </c>
      <c r="B39" t="s">
        <v>55</v>
      </c>
      <c r="C39" t="s">
        <v>41</v>
      </c>
      <c r="D39" t="s">
        <v>42</v>
      </c>
      <c r="E39" t="s">
        <v>26</v>
      </c>
      <c r="F39">
        <v>199</v>
      </c>
      <c r="G39" s="1">
        <v>45444.513194444444</v>
      </c>
      <c r="H39" s="1">
        <v>45444.591666666667</v>
      </c>
      <c r="I39" s="1">
        <v>45445.133333333331</v>
      </c>
      <c r="J39">
        <v>8.1999999999999993</v>
      </c>
      <c r="K39" t="s">
        <v>53</v>
      </c>
      <c r="L39">
        <v>12</v>
      </c>
    </row>
    <row r="40" spans="1:12" x14ac:dyDescent="0.25">
      <c r="A40" t="s">
        <v>93</v>
      </c>
      <c r="B40" t="s">
        <v>94</v>
      </c>
      <c r="C40" t="s">
        <v>14</v>
      </c>
      <c r="D40" t="s">
        <v>15</v>
      </c>
      <c r="E40" t="s">
        <v>26</v>
      </c>
      <c r="F40">
        <v>1499</v>
      </c>
      <c r="G40" s="1">
        <v>45444.597916666666</v>
      </c>
      <c r="H40" s="1">
        <v>45444.648611111108</v>
      </c>
      <c r="I40" s="1">
        <v>45445.481944444444</v>
      </c>
      <c r="J40">
        <v>14.17</v>
      </c>
      <c r="K40" t="s">
        <v>30</v>
      </c>
      <c r="L40">
        <v>12</v>
      </c>
    </row>
    <row r="41" spans="1:12" x14ac:dyDescent="0.25">
      <c r="A41" t="s">
        <v>95</v>
      </c>
      <c r="B41" t="s">
        <v>96</v>
      </c>
      <c r="C41" t="s">
        <v>41</v>
      </c>
      <c r="D41" t="s">
        <v>42</v>
      </c>
      <c r="E41" t="s">
        <v>26</v>
      </c>
      <c r="F41">
        <v>899</v>
      </c>
      <c r="G41" s="1">
        <v>45444.556250000001</v>
      </c>
      <c r="H41" s="1">
        <v>45444.62222222222</v>
      </c>
      <c r="I41" s="1">
        <v>45445.038888888892</v>
      </c>
      <c r="J41">
        <v>19.309999999999999</v>
      </c>
      <c r="K41" t="s">
        <v>23</v>
      </c>
      <c r="L41">
        <v>12</v>
      </c>
    </row>
    <row r="42" spans="1:12" x14ac:dyDescent="0.25">
      <c r="A42" t="s">
        <v>97</v>
      </c>
      <c r="B42" t="s">
        <v>48</v>
      </c>
      <c r="C42" t="s">
        <v>20</v>
      </c>
      <c r="D42" t="s">
        <v>21</v>
      </c>
      <c r="E42" t="s">
        <v>68</v>
      </c>
      <c r="F42">
        <v>899</v>
      </c>
      <c r="G42" s="1">
        <v>45444.529166666667</v>
      </c>
      <c r="H42" s="1">
        <v>45444.597222222219</v>
      </c>
      <c r="I42" s="1">
        <v>45444.763888888891</v>
      </c>
      <c r="J42">
        <v>21.57</v>
      </c>
      <c r="K42" t="s">
        <v>23</v>
      </c>
      <c r="L42">
        <v>12</v>
      </c>
    </row>
    <row r="43" spans="1:12" x14ac:dyDescent="0.25">
      <c r="A43" t="s">
        <v>98</v>
      </c>
      <c r="B43" t="s">
        <v>99</v>
      </c>
      <c r="C43" t="s">
        <v>41</v>
      </c>
      <c r="D43" t="s">
        <v>42</v>
      </c>
      <c r="E43" t="s">
        <v>34</v>
      </c>
      <c r="F43">
        <v>1499</v>
      </c>
      <c r="G43" s="1">
        <v>45444.690972222219</v>
      </c>
      <c r="H43" s="1">
        <v>45444.727777777778</v>
      </c>
      <c r="I43" s="1">
        <v>45444.936111111114</v>
      </c>
      <c r="J43">
        <v>22.52</v>
      </c>
      <c r="K43" t="s">
        <v>53</v>
      </c>
      <c r="L43">
        <v>12</v>
      </c>
    </row>
    <row r="44" spans="1:12" x14ac:dyDescent="0.25">
      <c r="A44" t="s">
        <v>100</v>
      </c>
      <c r="B44" t="s">
        <v>57</v>
      </c>
      <c r="C44" t="s">
        <v>20</v>
      </c>
      <c r="D44" t="s">
        <v>21</v>
      </c>
      <c r="E44" t="s">
        <v>68</v>
      </c>
      <c r="F44">
        <v>1499</v>
      </c>
      <c r="G44" s="1">
        <v>45444.724305555559</v>
      </c>
      <c r="H44" s="1">
        <v>45444.790972222225</v>
      </c>
      <c r="I44" s="1">
        <v>45445.540972222225</v>
      </c>
      <c r="J44">
        <v>20.81</v>
      </c>
      <c r="K44" t="s">
        <v>53</v>
      </c>
      <c r="L44">
        <v>12</v>
      </c>
    </row>
    <row r="45" spans="1:12" x14ac:dyDescent="0.25">
      <c r="A45" t="s">
        <v>101</v>
      </c>
      <c r="B45" t="s">
        <v>102</v>
      </c>
      <c r="C45" t="s">
        <v>45</v>
      </c>
      <c r="D45" t="s">
        <v>46</v>
      </c>
      <c r="E45" t="s">
        <v>29</v>
      </c>
      <c r="F45">
        <v>199</v>
      </c>
      <c r="G45" s="1">
        <v>45444.593055555553</v>
      </c>
      <c r="H45" s="1">
        <v>45444.620833333334</v>
      </c>
      <c r="I45" s="1">
        <v>45445.162499999999</v>
      </c>
      <c r="J45">
        <v>21.87</v>
      </c>
      <c r="K45" t="s">
        <v>23</v>
      </c>
      <c r="L45">
        <v>12</v>
      </c>
    </row>
    <row r="46" spans="1:12" x14ac:dyDescent="0.25">
      <c r="A46" t="s">
        <v>103</v>
      </c>
      <c r="B46" t="s">
        <v>104</v>
      </c>
      <c r="C46" t="s">
        <v>20</v>
      </c>
      <c r="D46" t="s">
        <v>21</v>
      </c>
      <c r="E46" t="s">
        <v>26</v>
      </c>
      <c r="F46">
        <v>399</v>
      </c>
      <c r="G46" s="1">
        <v>45444.688888888886</v>
      </c>
      <c r="H46" s="1">
        <v>45444.75</v>
      </c>
      <c r="I46" s="1">
        <v>45445.166666666664</v>
      </c>
      <c r="J46">
        <v>24.78</v>
      </c>
      <c r="K46" t="s">
        <v>17</v>
      </c>
      <c r="L46">
        <v>12</v>
      </c>
    </row>
    <row r="47" spans="1:12" x14ac:dyDescent="0.25">
      <c r="A47" t="s">
        <v>105</v>
      </c>
      <c r="B47" t="s">
        <v>84</v>
      </c>
      <c r="C47" t="s">
        <v>14</v>
      </c>
      <c r="D47" t="s">
        <v>15</v>
      </c>
      <c r="E47" t="s">
        <v>16</v>
      </c>
      <c r="F47">
        <v>2499</v>
      </c>
      <c r="G47" s="1">
        <v>45444.775694444441</v>
      </c>
      <c r="H47" s="1">
        <v>45444.821527777778</v>
      </c>
      <c r="I47" s="1">
        <v>45445.613194444442</v>
      </c>
      <c r="J47">
        <v>18.079999999999998</v>
      </c>
      <c r="K47" t="s">
        <v>17</v>
      </c>
      <c r="L47">
        <v>12</v>
      </c>
    </row>
    <row r="48" spans="1:12" x14ac:dyDescent="0.25">
      <c r="A48" t="s">
        <v>106</v>
      </c>
      <c r="B48" t="s">
        <v>107</v>
      </c>
      <c r="C48" t="s">
        <v>20</v>
      </c>
      <c r="D48" t="s">
        <v>21</v>
      </c>
      <c r="E48" t="s">
        <v>22</v>
      </c>
      <c r="F48">
        <v>2499</v>
      </c>
      <c r="G48" s="1">
        <v>45444.62222222222</v>
      </c>
      <c r="H48" s="1">
        <v>45444.650694444441</v>
      </c>
      <c r="I48" s="1">
        <v>45445.400694444441</v>
      </c>
      <c r="J48">
        <v>13.01</v>
      </c>
      <c r="K48" t="s">
        <v>53</v>
      </c>
      <c r="L48">
        <v>12</v>
      </c>
    </row>
    <row r="49" spans="1:12" x14ac:dyDescent="0.25">
      <c r="A49" t="s">
        <v>108</v>
      </c>
      <c r="B49" t="s">
        <v>52</v>
      </c>
      <c r="C49" t="s">
        <v>41</v>
      </c>
      <c r="D49" t="s">
        <v>42</v>
      </c>
      <c r="E49" t="s">
        <v>34</v>
      </c>
      <c r="F49">
        <v>399</v>
      </c>
      <c r="G49" s="1">
        <v>45444.526388888888</v>
      </c>
      <c r="H49" s="1">
        <v>45444.54583333333</v>
      </c>
      <c r="I49" s="1">
        <v>45445.087500000001</v>
      </c>
      <c r="J49">
        <v>16.22</v>
      </c>
      <c r="K49" t="s">
        <v>17</v>
      </c>
      <c r="L49">
        <v>12</v>
      </c>
    </row>
    <row r="50" spans="1:12" x14ac:dyDescent="0.25">
      <c r="A50" t="s">
        <v>109</v>
      </c>
      <c r="B50" t="s">
        <v>40</v>
      </c>
      <c r="C50" t="s">
        <v>41</v>
      </c>
      <c r="D50" t="s">
        <v>42</v>
      </c>
      <c r="E50" t="s">
        <v>29</v>
      </c>
      <c r="F50">
        <v>699</v>
      </c>
      <c r="G50" s="1">
        <v>45444.604166666664</v>
      </c>
      <c r="H50" s="1">
        <v>45444.669444444444</v>
      </c>
      <c r="I50" s="1">
        <v>45445.419444444444</v>
      </c>
      <c r="J50">
        <v>20.8</v>
      </c>
      <c r="K50" t="s">
        <v>17</v>
      </c>
      <c r="L50">
        <v>12</v>
      </c>
    </row>
    <row r="51" spans="1:12" x14ac:dyDescent="0.25">
      <c r="A51" t="s">
        <v>110</v>
      </c>
      <c r="B51" t="s">
        <v>70</v>
      </c>
      <c r="C51" t="s">
        <v>45</v>
      </c>
      <c r="D51" t="s">
        <v>46</v>
      </c>
      <c r="E51" t="s">
        <v>22</v>
      </c>
      <c r="F51">
        <v>1299</v>
      </c>
      <c r="G51" s="1">
        <v>45444.743750000001</v>
      </c>
      <c r="H51" s="1">
        <v>45444.818055555559</v>
      </c>
      <c r="I51" s="1">
        <v>45445.484722222223</v>
      </c>
      <c r="J51">
        <v>8.98</v>
      </c>
      <c r="K51" t="s">
        <v>23</v>
      </c>
      <c r="L51">
        <v>12</v>
      </c>
    </row>
    <row r="52" spans="1:12" x14ac:dyDescent="0.25">
      <c r="A52" t="s">
        <v>111</v>
      </c>
      <c r="B52" t="s">
        <v>84</v>
      </c>
      <c r="C52" t="s">
        <v>20</v>
      </c>
      <c r="D52" t="s">
        <v>21</v>
      </c>
      <c r="E52" t="s">
        <v>26</v>
      </c>
      <c r="F52">
        <v>2499</v>
      </c>
      <c r="G52" s="1">
        <v>45444.652083333334</v>
      </c>
      <c r="H52" s="1">
        <v>45444.677777777775</v>
      </c>
      <c r="I52" s="1">
        <v>45444.927777777775</v>
      </c>
      <c r="J52">
        <v>11.03</v>
      </c>
      <c r="K52" t="s">
        <v>17</v>
      </c>
      <c r="L52">
        <v>12</v>
      </c>
    </row>
    <row r="53" spans="1:12" x14ac:dyDescent="0.25">
      <c r="A53" t="s">
        <v>112</v>
      </c>
      <c r="B53" t="s">
        <v>94</v>
      </c>
      <c r="C53" t="s">
        <v>41</v>
      </c>
      <c r="D53" t="s">
        <v>42</v>
      </c>
      <c r="E53" t="s">
        <v>26</v>
      </c>
      <c r="F53">
        <v>199</v>
      </c>
      <c r="G53" s="1">
        <v>45444.452777777777</v>
      </c>
      <c r="H53" s="1">
        <v>45444.522222222222</v>
      </c>
      <c r="I53" s="1">
        <v>45444.688888888886</v>
      </c>
      <c r="J53">
        <v>15.42</v>
      </c>
      <c r="K53" t="s">
        <v>53</v>
      </c>
      <c r="L53">
        <v>12</v>
      </c>
    </row>
    <row r="54" spans="1:12" x14ac:dyDescent="0.25">
      <c r="A54" t="s">
        <v>113</v>
      </c>
      <c r="B54" t="s">
        <v>114</v>
      </c>
      <c r="C54" t="s">
        <v>14</v>
      </c>
      <c r="D54" t="s">
        <v>15</v>
      </c>
      <c r="E54" t="s">
        <v>68</v>
      </c>
      <c r="F54">
        <v>1999</v>
      </c>
      <c r="G54" s="1">
        <v>45444.419444444444</v>
      </c>
      <c r="H54" s="1">
        <v>45444.440972222219</v>
      </c>
      <c r="I54" s="1">
        <v>45444.732638888891</v>
      </c>
      <c r="J54">
        <v>18.77</v>
      </c>
      <c r="K54" t="s">
        <v>17</v>
      </c>
      <c r="L54">
        <v>12</v>
      </c>
    </row>
    <row r="55" spans="1:12" x14ac:dyDescent="0.25">
      <c r="A55" t="s">
        <v>115</v>
      </c>
      <c r="B55" t="s">
        <v>72</v>
      </c>
      <c r="C55" t="s">
        <v>45</v>
      </c>
      <c r="D55" t="s">
        <v>46</v>
      </c>
      <c r="E55" t="s">
        <v>22</v>
      </c>
      <c r="F55">
        <v>1499</v>
      </c>
      <c r="G55" s="1">
        <v>45444.563888888886</v>
      </c>
      <c r="H55" s="1">
        <v>45444.625694444447</v>
      </c>
      <c r="I55" s="1">
        <v>45444.917361111111</v>
      </c>
      <c r="J55">
        <v>24.14</v>
      </c>
      <c r="K55" t="s">
        <v>53</v>
      </c>
      <c r="L55">
        <v>12</v>
      </c>
    </row>
    <row r="56" spans="1:12" x14ac:dyDescent="0.25">
      <c r="A56" t="s">
        <v>116</v>
      </c>
      <c r="B56" t="s">
        <v>44</v>
      </c>
      <c r="C56" t="s">
        <v>45</v>
      </c>
      <c r="D56" t="s">
        <v>46</v>
      </c>
      <c r="E56" t="s">
        <v>22</v>
      </c>
      <c r="F56">
        <v>1299</v>
      </c>
      <c r="G56" s="1">
        <v>45444.643750000003</v>
      </c>
      <c r="H56" s="1">
        <v>45444.693749999999</v>
      </c>
      <c r="I56" s="1">
        <v>45445.152083333334</v>
      </c>
      <c r="J56">
        <v>9.61</v>
      </c>
      <c r="K56" t="s">
        <v>23</v>
      </c>
      <c r="L56">
        <v>12</v>
      </c>
    </row>
    <row r="57" spans="1:12" x14ac:dyDescent="0.25">
      <c r="A57" t="s">
        <v>117</v>
      </c>
      <c r="B57" t="s">
        <v>81</v>
      </c>
      <c r="C57" t="s">
        <v>41</v>
      </c>
      <c r="D57" t="s">
        <v>42</v>
      </c>
      <c r="E57" t="s">
        <v>26</v>
      </c>
      <c r="F57">
        <v>2499</v>
      </c>
      <c r="G57" s="1">
        <v>45444.445138888892</v>
      </c>
      <c r="H57" s="1">
        <v>45444.505555555559</v>
      </c>
      <c r="I57" s="1">
        <v>45445.172222222223</v>
      </c>
      <c r="J57">
        <v>11.13</v>
      </c>
      <c r="K57" t="s">
        <v>23</v>
      </c>
      <c r="L57">
        <v>12</v>
      </c>
    </row>
    <row r="58" spans="1:12" x14ac:dyDescent="0.25">
      <c r="A58" t="s">
        <v>118</v>
      </c>
      <c r="B58" t="s">
        <v>44</v>
      </c>
      <c r="C58" t="s">
        <v>20</v>
      </c>
      <c r="D58" t="s">
        <v>21</v>
      </c>
      <c r="E58" t="s">
        <v>34</v>
      </c>
      <c r="F58">
        <v>1499</v>
      </c>
      <c r="G58" s="1">
        <v>45444.509027777778</v>
      </c>
      <c r="H58" s="1">
        <v>45444.584722222222</v>
      </c>
      <c r="I58" s="1">
        <v>45445.418055555558</v>
      </c>
      <c r="J58">
        <v>7.39</v>
      </c>
      <c r="K58" t="s">
        <v>17</v>
      </c>
      <c r="L58">
        <v>12</v>
      </c>
    </row>
    <row r="59" spans="1:12" x14ac:dyDescent="0.25">
      <c r="A59" t="s">
        <v>119</v>
      </c>
      <c r="B59" t="s">
        <v>94</v>
      </c>
      <c r="C59" t="s">
        <v>41</v>
      </c>
      <c r="D59" t="s">
        <v>42</v>
      </c>
      <c r="E59" t="s">
        <v>29</v>
      </c>
      <c r="F59">
        <v>1499</v>
      </c>
      <c r="G59" s="1">
        <v>45444.518750000003</v>
      </c>
      <c r="H59" s="1">
        <v>45444.546527777777</v>
      </c>
      <c r="I59" s="1">
        <v>45444.754861111112</v>
      </c>
      <c r="J59">
        <v>22.66</v>
      </c>
      <c r="K59" t="s">
        <v>17</v>
      </c>
      <c r="L59">
        <v>12</v>
      </c>
    </row>
    <row r="60" spans="1:12" x14ac:dyDescent="0.25">
      <c r="A60" t="s">
        <v>120</v>
      </c>
      <c r="B60" t="s">
        <v>75</v>
      </c>
      <c r="C60" t="s">
        <v>20</v>
      </c>
      <c r="D60" t="s">
        <v>21</v>
      </c>
      <c r="E60" t="s">
        <v>34</v>
      </c>
      <c r="F60">
        <v>1299</v>
      </c>
      <c r="G60" s="1">
        <v>45444.443055555559</v>
      </c>
      <c r="H60" s="1">
        <v>45444.498611111114</v>
      </c>
      <c r="I60" s="1">
        <v>45445.165277777778</v>
      </c>
      <c r="J60">
        <v>19.29</v>
      </c>
      <c r="K60" t="s">
        <v>23</v>
      </c>
      <c r="L60">
        <v>12</v>
      </c>
    </row>
    <row r="61" spans="1:12" x14ac:dyDescent="0.25">
      <c r="A61" t="s">
        <v>121</v>
      </c>
      <c r="B61" t="s">
        <v>122</v>
      </c>
      <c r="C61" t="s">
        <v>14</v>
      </c>
      <c r="D61" t="s">
        <v>15</v>
      </c>
      <c r="E61" t="s">
        <v>68</v>
      </c>
      <c r="F61">
        <v>899</v>
      </c>
      <c r="G61" s="1">
        <v>45444.677083333336</v>
      </c>
      <c r="H61" s="1">
        <v>45444.759027777778</v>
      </c>
      <c r="I61" s="1">
        <v>45445.384027777778</v>
      </c>
      <c r="J61">
        <v>21.24</v>
      </c>
      <c r="K61" t="s">
        <v>23</v>
      </c>
      <c r="L61">
        <v>12</v>
      </c>
    </row>
    <row r="62" spans="1:12" x14ac:dyDescent="0.25">
      <c r="A62" t="s">
        <v>123</v>
      </c>
      <c r="B62" t="s">
        <v>75</v>
      </c>
      <c r="C62" t="s">
        <v>37</v>
      </c>
      <c r="D62" t="s">
        <v>38</v>
      </c>
      <c r="E62" t="s">
        <v>22</v>
      </c>
      <c r="F62">
        <v>399</v>
      </c>
      <c r="G62" s="1">
        <v>45444.615972222222</v>
      </c>
      <c r="H62" s="1">
        <v>45444.630555555559</v>
      </c>
      <c r="I62" s="1">
        <v>45445.047222222223</v>
      </c>
      <c r="J62">
        <v>12.21</v>
      </c>
      <c r="K62" t="s">
        <v>53</v>
      </c>
      <c r="L62">
        <v>12</v>
      </c>
    </row>
    <row r="63" spans="1:12" x14ac:dyDescent="0.25">
      <c r="A63" t="s">
        <v>124</v>
      </c>
      <c r="B63" t="s">
        <v>28</v>
      </c>
      <c r="C63" t="s">
        <v>45</v>
      </c>
      <c r="D63" t="s">
        <v>46</v>
      </c>
      <c r="E63" t="s">
        <v>22</v>
      </c>
      <c r="F63">
        <v>2499</v>
      </c>
      <c r="G63" s="1">
        <v>45444.527083333334</v>
      </c>
      <c r="H63" s="1">
        <v>45444.59375</v>
      </c>
      <c r="I63" s="1">
        <v>45445.177083333336</v>
      </c>
      <c r="J63">
        <v>24.92</v>
      </c>
      <c r="K63" t="s">
        <v>53</v>
      </c>
      <c r="L63">
        <v>12</v>
      </c>
    </row>
    <row r="64" spans="1:12" x14ac:dyDescent="0.25">
      <c r="A64" t="s">
        <v>125</v>
      </c>
      <c r="B64" t="s">
        <v>84</v>
      </c>
      <c r="C64" t="s">
        <v>37</v>
      </c>
      <c r="D64" t="s">
        <v>38</v>
      </c>
      <c r="E64" t="s">
        <v>16</v>
      </c>
      <c r="F64">
        <v>899</v>
      </c>
      <c r="G64" s="1">
        <v>45444.529166666667</v>
      </c>
      <c r="H64" s="1">
        <v>45444.599305555559</v>
      </c>
      <c r="I64" s="1">
        <v>45444.807638888888</v>
      </c>
      <c r="J64">
        <v>20.78</v>
      </c>
      <c r="K64" t="s">
        <v>30</v>
      </c>
      <c r="L64">
        <v>12</v>
      </c>
    </row>
    <row r="65" spans="1:12" x14ac:dyDescent="0.25">
      <c r="A65" t="s">
        <v>126</v>
      </c>
      <c r="B65" t="s">
        <v>127</v>
      </c>
      <c r="C65" t="s">
        <v>20</v>
      </c>
      <c r="D65" t="s">
        <v>21</v>
      </c>
      <c r="E65" t="s">
        <v>22</v>
      </c>
      <c r="F65">
        <v>1499</v>
      </c>
      <c r="G65" s="1">
        <v>45444.647916666669</v>
      </c>
      <c r="H65" s="1">
        <v>45444.668749999997</v>
      </c>
      <c r="I65" s="1">
        <v>45445.335416666669</v>
      </c>
      <c r="J65">
        <v>6.8</v>
      </c>
      <c r="K65" t="s">
        <v>23</v>
      </c>
      <c r="L65">
        <v>12</v>
      </c>
    </row>
    <row r="66" spans="1:12" x14ac:dyDescent="0.25">
      <c r="A66" t="s">
        <v>128</v>
      </c>
      <c r="B66" t="s">
        <v>102</v>
      </c>
      <c r="C66" t="s">
        <v>41</v>
      </c>
      <c r="D66" t="s">
        <v>42</v>
      </c>
      <c r="E66" t="s">
        <v>68</v>
      </c>
      <c r="F66">
        <v>899</v>
      </c>
      <c r="G66" s="1">
        <v>45444.65902777778</v>
      </c>
      <c r="H66" s="1">
        <v>45444.710416666669</v>
      </c>
      <c r="I66" s="1">
        <v>45445.085416666669</v>
      </c>
      <c r="J66">
        <v>19.16</v>
      </c>
      <c r="K66" t="s">
        <v>23</v>
      </c>
      <c r="L66">
        <v>12</v>
      </c>
    </row>
    <row r="67" spans="1:12" x14ac:dyDescent="0.25">
      <c r="A67" t="s">
        <v>129</v>
      </c>
      <c r="B67" t="s">
        <v>40</v>
      </c>
      <c r="C67" t="s">
        <v>45</v>
      </c>
      <c r="D67" t="s">
        <v>46</v>
      </c>
      <c r="E67" t="s">
        <v>22</v>
      </c>
      <c r="F67">
        <v>699</v>
      </c>
      <c r="G67" s="1">
        <v>45444.755555555559</v>
      </c>
      <c r="H67" s="1">
        <v>45444.771527777775</v>
      </c>
      <c r="I67" s="1">
        <v>45445.438194444447</v>
      </c>
      <c r="J67">
        <v>24.71</v>
      </c>
      <c r="K67" t="s">
        <v>23</v>
      </c>
      <c r="L67">
        <v>12</v>
      </c>
    </row>
    <row r="68" spans="1:12" x14ac:dyDescent="0.25">
      <c r="A68" t="s">
        <v>130</v>
      </c>
      <c r="B68" t="s">
        <v>25</v>
      </c>
      <c r="C68" t="s">
        <v>37</v>
      </c>
      <c r="D68" t="s">
        <v>38</v>
      </c>
      <c r="E68" t="s">
        <v>26</v>
      </c>
      <c r="F68">
        <v>399</v>
      </c>
      <c r="G68" s="1">
        <v>45444.686111111114</v>
      </c>
      <c r="H68" s="1">
        <v>45444.71597222222</v>
      </c>
      <c r="I68" s="1">
        <v>45445.174305555556</v>
      </c>
      <c r="J68">
        <v>13.64</v>
      </c>
      <c r="K68" t="s">
        <v>23</v>
      </c>
      <c r="L68">
        <v>12</v>
      </c>
    </row>
    <row r="69" spans="1:12" x14ac:dyDescent="0.25">
      <c r="A69" t="s">
        <v>131</v>
      </c>
      <c r="B69" t="s">
        <v>132</v>
      </c>
      <c r="C69" t="s">
        <v>14</v>
      </c>
      <c r="D69" t="s">
        <v>15</v>
      </c>
      <c r="E69" t="s">
        <v>34</v>
      </c>
      <c r="F69">
        <v>2499</v>
      </c>
      <c r="G69" s="1">
        <v>45444.578472222223</v>
      </c>
      <c r="H69" s="1">
        <v>45444.651388888888</v>
      </c>
      <c r="I69" s="1">
        <v>45445.151388888888</v>
      </c>
      <c r="J69">
        <v>8.82</v>
      </c>
      <c r="K69" t="s">
        <v>17</v>
      </c>
      <c r="L69">
        <v>12</v>
      </c>
    </row>
    <row r="70" spans="1:12" x14ac:dyDescent="0.25">
      <c r="A70" t="s">
        <v>133</v>
      </c>
      <c r="B70" t="s">
        <v>94</v>
      </c>
      <c r="C70" t="s">
        <v>37</v>
      </c>
      <c r="D70" t="s">
        <v>38</v>
      </c>
      <c r="E70" t="s">
        <v>34</v>
      </c>
      <c r="F70">
        <v>899</v>
      </c>
      <c r="G70" s="1">
        <v>45444.704861111109</v>
      </c>
      <c r="H70" s="1">
        <v>45444.76666666667</v>
      </c>
      <c r="I70" s="1">
        <v>45445.308333333334</v>
      </c>
      <c r="J70">
        <v>7.74</v>
      </c>
      <c r="K70" t="s">
        <v>53</v>
      </c>
      <c r="L70">
        <v>12</v>
      </c>
    </row>
    <row r="71" spans="1:12" x14ac:dyDescent="0.25">
      <c r="A71" t="s">
        <v>134</v>
      </c>
      <c r="B71" t="s">
        <v>52</v>
      </c>
      <c r="C71" t="s">
        <v>20</v>
      </c>
      <c r="D71" t="s">
        <v>21</v>
      </c>
      <c r="E71" t="s">
        <v>29</v>
      </c>
      <c r="F71">
        <v>399</v>
      </c>
      <c r="G71" s="1">
        <v>45444.504166666666</v>
      </c>
      <c r="H71" s="1">
        <v>45444.5625</v>
      </c>
      <c r="I71" s="1">
        <v>45444.729166666664</v>
      </c>
      <c r="J71">
        <v>8.3000000000000007</v>
      </c>
      <c r="K71" t="s">
        <v>53</v>
      </c>
      <c r="L71">
        <v>12</v>
      </c>
    </row>
    <row r="72" spans="1:12" x14ac:dyDescent="0.25">
      <c r="A72" t="s">
        <v>135</v>
      </c>
      <c r="B72" t="s">
        <v>96</v>
      </c>
      <c r="C72" t="s">
        <v>20</v>
      </c>
      <c r="D72" t="s">
        <v>21</v>
      </c>
      <c r="E72" t="s">
        <v>29</v>
      </c>
      <c r="F72">
        <v>199</v>
      </c>
      <c r="G72" s="1">
        <v>45444.767361111109</v>
      </c>
      <c r="H72" s="1">
        <v>45444.836111111108</v>
      </c>
      <c r="I72" s="1">
        <v>45445.419444444444</v>
      </c>
      <c r="J72">
        <v>15</v>
      </c>
      <c r="K72" t="s">
        <v>53</v>
      </c>
      <c r="L72">
        <v>12</v>
      </c>
    </row>
    <row r="73" spans="1:12" x14ac:dyDescent="0.25">
      <c r="A73" t="s">
        <v>136</v>
      </c>
      <c r="B73" t="s">
        <v>64</v>
      </c>
      <c r="C73" t="s">
        <v>20</v>
      </c>
      <c r="D73" t="s">
        <v>21</v>
      </c>
      <c r="E73" t="s">
        <v>68</v>
      </c>
      <c r="F73">
        <v>499</v>
      </c>
      <c r="G73" s="1">
        <v>45444.423611111109</v>
      </c>
      <c r="H73" s="1">
        <v>45444.478472222225</v>
      </c>
      <c r="I73" s="1">
        <v>45444.895138888889</v>
      </c>
      <c r="J73">
        <v>19.899999999999999</v>
      </c>
      <c r="K73" t="s">
        <v>53</v>
      </c>
      <c r="L73">
        <v>12</v>
      </c>
    </row>
    <row r="74" spans="1:12" x14ac:dyDescent="0.25">
      <c r="A74" t="s">
        <v>137</v>
      </c>
      <c r="B74" t="s">
        <v>102</v>
      </c>
      <c r="C74" t="s">
        <v>45</v>
      </c>
      <c r="D74" t="s">
        <v>46</v>
      </c>
      <c r="E74" t="s">
        <v>34</v>
      </c>
      <c r="F74">
        <v>299</v>
      </c>
      <c r="G74" s="1">
        <v>45444.409722222219</v>
      </c>
      <c r="H74" s="1">
        <v>45444.454861111109</v>
      </c>
      <c r="I74" s="1">
        <v>45444.788194444445</v>
      </c>
      <c r="J74">
        <v>7.23</v>
      </c>
      <c r="K74" t="s">
        <v>23</v>
      </c>
      <c r="L74">
        <v>12</v>
      </c>
    </row>
    <row r="75" spans="1:12" x14ac:dyDescent="0.25">
      <c r="A75" t="s">
        <v>138</v>
      </c>
      <c r="B75" t="s">
        <v>114</v>
      </c>
      <c r="C75" t="s">
        <v>20</v>
      </c>
      <c r="D75" t="s">
        <v>21</v>
      </c>
      <c r="E75" t="s">
        <v>22</v>
      </c>
      <c r="F75">
        <v>1499</v>
      </c>
      <c r="G75" s="1">
        <v>45444.443055555559</v>
      </c>
      <c r="H75" s="1">
        <v>45444.467361111114</v>
      </c>
      <c r="I75" s="1">
        <v>45444.884027777778</v>
      </c>
      <c r="J75">
        <v>20.36</v>
      </c>
      <c r="K75" t="s">
        <v>30</v>
      </c>
      <c r="L75">
        <v>12</v>
      </c>
    </row>
    <row r="76" spans="1:12" x14ac:dyDescent="0.25">
      <c r="A76" t="s">
        <v>139</v>
      </c>
      <c r="B76" t="s">
        <v>40</v>
      </c>
      <c r="C76" t="s">
        <v>20</v>
      </c>
      <c r="D76" t="s">
        <v>21</v>
      </c>
      <c r="E76" t="s">
        <v>68</v>
      </c>
      <c r="F76">
        <v>2499</v>
      </c>
      <c r="G76" s="1">
        <v>45444.455555555556</v>
      </c>
      <c r="H76" s="1">
        <v>45444.527083333334</v>
      </c>
      <c r="I76" s="1">
        <v>45445.318749999999</v>
      </c>
      <c r="J76">
        <v>20.07</v>
      </c>
      <c r="K76" t="s">
        <v>53</v>
      </c>
      <c r="L76">
        <v>12</v>
      </c>
    </row>
    <row r="77" spans="1:12" x14ac:dyDescent="0.25">
      <c r="A77" t="s">
        <v>140</v>
      </c>
      <c r="B77" t="s">
        <v>141</v>
      </c>
      <c r="C77" t="s">
        <v>37</v>
      </c>
      <c r="D77" t="s">
        <v>38</v>
      </c>
      <c r="E77" t="s">
        <v>68</v>
      </c>
      <c r="F77">
        <v>899</v>
      </c>
      <c r="G77" s="1">
        <v>45444.65625</v>
      </c>
      <c r="H77" s="1">
        <v>45444.692361111112</v>
      </c>
      <c r="I77" s="1">
        <v>45445.400694444441</v>
      </c>
      <c r="J77">
        <v>9.34</v>
      </c>
      <c r="K77" t="s">
        <v>30</v>
      </c>
      <c r="L77">
        <v>12</v>
      </c>
    </row>
    <row r="78" spans="1:12" x14ac:dyDescent="0.25">
      <c r="A78" t="s">
        <v>142</v>
      </c>
      <c r="B78" t="s">
        <v>55</v>
      </c>
      <c r="C78" t="s">
        <v>20</v>
      </c>
      <c r="D78" t="s">
        <v>21</v>
      </c>
      <c r="E78" t="s">
        <v>68</v>
      </c>
      <c r="F78">
        <v>1999</v>
      </c>
      <c r="G78" s="1">
        <v>45444.392361111109</v>
      </c>
      <c r="H78" s="1">
        <v>45444.447916666664</v>
      </c>
      <c r="I78" s="1">
        <v>45444.989583333336</v>
      </c>
      <c r="J78">
        <v>16.07</v>
      </c>
      <c r="K78" t="s">
        <v>53</v>
      </c>
      <c r="L78">
        <v>12</v>
      </c>
    </row>
    <row r="79" spans="1:12" x14ac:dyDescent="0.25">
      <c r="A79" t="s">
        <v>143</v>
      </c>
      <c r="B79" t="s">
        <v>132</v>
      </c>
      <c r="C79" t="s">
        <v>14</v>
      </c>
      <c r="D79" t="s">
        <v>15</v>
      </c>
      <c r="E79" t="s">
        <v>22</v>
      </c>
      <c r="F79">
        <v>699</v>
      </c>
      <c r="G79" s="1">
        <v>45444.526388888888</v>
      </c>
      <c r="H79" s="1">
        <v>45444.584722222222</v>
      </c>
      <c r="I79" s="1">
        <v>45444.751388888886</v>
      </c>
      <c r="J79">
        <v>10.9</v>
      </c>
      <c r="K79" t="s">
        <v>53</v>
      </c>
      <c r="L79">
        <v>12</v>
      </c>
    </row>
    <row r="80" spans="1:12" x14ac:dyDescent="0.25">
      <c r="A80" t="s">
        <v>144</v>
      </c>
      <c r="B80" t="s">
        <v>81</v>
      </c>
      <c r="C80" t="s">
        <v>20</v>
      </c>
      <c r="D80" t="s">
        <v>21</v>
      </c>
      <c r="E80" t="s">
        <v>22</v>
      </c>
      <c r="F80">
        <v>1999</v>
      </c>
      <c r="G80" s="1">
        <v>45444.474305555559</v>
      </c>
      <c r="H80" s="1">
        <v>45444.502083333333</v>
      </c>
      <c r="I80" s="1">
        <v>45445.335416666669</v>
      </c>
      <c r="J80">
        <v>12.62</v>
      </c>
      <c r="K80" t="s">
        <v>23</v>
      </c>
      <c r="L80">
        <v>12</v>
      </c>
    </row>
    <row r="81" spans="1:12" x14ac:dyDescent="0.25">
      <c r="A81" t="s">
        <v>145</v>
      </c>
      <c r="B81" t="s">
        <v>57</v>
      </c>
      <c r="C81" t="s">
        <v>45</v>
      </c>
      <c r="D81" t="s">
        <v>46</v>
      </c>
      <c r="E81" t="s">
        <v>26</v>
      </c>
      <c r="F81">
        <v>899</v>
      </c>
      <c r="G81" s="1">
        <v>45444.543749999997</v>
      </c>
      <c r="H81" s="1">
        <v>45444.572222222225</v>
      </c>
      <c r="I81" s="1">
        <v>45444.947222222225</v>
      </c>
      <c r="J81">
        <v>24.03</v>
      </c>
      <c r="K81" t="s">
        <v>53</v>
      </c>
      <c r="L81">
        <v>12</v>
      </c>
    </row>
    <row r="82" spans="1:12" x14ac:dyDescent="0.25">
      <c r="A82" t="s">
        <v>146</v>
      </c>
      <c r="B82" t="s">
        <v>57</v>
      </c>
      <c r="C82" t="s">
        <v>45</v>
      </c>
      <c r="D82" t="s">
        <v>46</v>
      </c>
      <c r="E82" t="s">
        <v>16</v>
      </c>
      <c r="F82">
        <v>1999</v>
      </c>
      <c r="G82" s="1">
        <v>45444.731249999997</v>
      </c>
      <c r="H82" s="1">
        <v>45444.791666666664</v>
      </c>
      <c r="I82" s="1">
        <v>45445.041666666664</v>
      </c>
      <c r="J82">
        <v>16.97</v>
      </c>
      <c r="K82" t="s">
        <v>30</v>
      </c>
      <c r="L82">
        <v>12</v>
      </c>
    </row>
    <row r="83" spans="1:12" x14ac:dyDescent="0.25">
      <c r="A83" t="s">
        <v>147</v>
      </c>
      <c r="B83" t="s">
        <v>78</v>
      </c>
      <c r="C83" t="s">
        <v>14</v>
      </c>
      <c r="D83" t="s">
        <v>15</v>
      </c>
      <c r="E83" t="s">
        <v>29</v>
      </c>
      <c r="F83">
        <v>299</v>
      </c>
      <c r="G83" s="1">
        <v>45444.645138888889</v>
      </c>
      <c r="H83" s="1">
        <v>45444.702777777777</v>
      </c>
      <c r="I83" s="1">
        <v>45445.494444444441</v>
      </c>
      <c r="J83">
        <v>21.14</v>
      </c>
      <c r="K83" t="s">
        <v>53</v>
      </c>
      <c r="L83">
        <v>12</v>
      </c>
    </row>
    <row r="84" spans="1:12" x14ac:dyDescent="0.25">
      <c r="A84" t="s">
        <v>148</v>
      </c>
      <c r="B84" t="s">
        <v>132</v>
      </c>
      <c r="C84" t="s">
        <v>37</v>
      </c>
      <c r="D84" t="s">
        <v>38</v>
      </c>
      <c r="E84" t="s">
        <v>29</v>
      </c>
      <c r="F84">
        <v>299</v>
      </c>
      <c r="G84" s="1">
        <v>45444.714583333334</v>
      </c>
      <c r="H84" s="1">
        <v>45444.79791666667</v>
      </c>
      <c r="I84" s="1">
        <v>45445.464583333334</v>
      </c>
      <c r="J84">
        <v>16.190000000000001</v>
      </c>
      <c r="K84" t="s">
        <v>23</v>
      </c>
      <c r="L84">
        <v>12</v>
      </c>
    </row>
    <row r="85" spans="1:12" x14ac:dyDescent="0.25">
      <c r="A85" t="s">
        <v>149</v>
      </c>
      <c r="B85" t="s">
        <v>50</v>
      </c>
      <c r="C85" t="s">
        <v>41</v>
      </c>
      <c r="D85" t="s">
        <v>42</v>
      </c>
      <c r="E85" t="s">
        <v>22</v>
      </c>
      <c r="F85">
        <v>1299</v>
      </c>
      <c r="G85" s="1">
        <v>45444.45208333333</v>
      </c>
      <c r="H85" s="1">
        <v>45444.50277777778</v>
      </c>
      <c r="I85" s="1">
        <v>45444.87777777778</v>
      </c>
      <c r="J85">
        <v>6.89</v>
      </c>
      <c r="K85" t="s">
        <v>30</v>
      </c>
      <c r="L85">
        <v>12</v>
      </c>
    </row>
    <row r="86" spans="1:12" x14ac:dyDescent="0.25">
      <c r="A86" t="s">
        <v>150</v>
      </c>
      <c r="B86" t="s">
        <v>75</v>
      </c>
      <c r="C86" t="s">
        <v>41</v>
      </c>
      <c r="D86" t="s">
        <v>42</v>
      </c>
      <c r="E86" t="s">
        <v>22</v>
      </c>
      <c r="F86">
        <v>199</v>
      </c>
      <c r="G86" s="1">
        <v>45444.481249999997</v>
      </c>
      <c r="H86" s="1">
        <v>45444.540277777778</v>
      </c>
      <c r="I86" s="1">
        <v>45444.873611111114</v>
      </c>
      <c r="J86">
        <v>19.55</v>
      </c>
      <c r="K86" t="s">
        <v>23</v>
      </c>
      <c r="L86">
        <v>12</v>
      </c>
    </row>
    <row r="87" spans="1:12" x14ac:dyDescent="0.25">
      <c r="A87" t="s">
        <v>151</v>
      </c>
      <c r="B87" t="s">
        <v>141</v>
      </c>
      <c r="C87" t="s">
        <v>14</v>
      </c>
      <c r="D87" t="s">
        <v>15</v>
      </c>
      <c r="E87" t="s">
        <v>29</v>
      </c>
      <c r="F87">
        <v>1999</v>
      </c>
      <c r="G87" s="1">
        <v>45444.378472222219</v>
      </c>
      <c r="H87" s="1">
        <v>45444.456944444442</v>
      </c>
      <c r="I87" s="1">
        <v>45444.831944444442</v>
      </c>
      <c r="J87">
        <v>9.0500000000000007</v>
      </c>
      <c r="K87" t="s">
        <v>23</v>
      </c>
      <c r="L87">
        <v>12</v>
      </c>
    </row>
    <row r="88" spans="1:12" x14ac:dyDescent="0.25">
      <c r="A88" t="s">
        <v>152</v>
      </c>
      <c r="B88" t="s">
        <v>141</v>
      </c>
      <c r="C88" t="s">
        <v>41</v>
      </c>
      <c r="D88" t="s">
        <v>42</v>
      </c>
      <c r="E88" t="s">
        <v>34</v>
      </c>
      <c r="F88">
        <v>1999</v>
      </c>
      <c r="G88" s="1">
        <v>45444.576388888891</v>
      </c>
      <c r="H88" s="1">
        <v>45444.647222222222</v>
      </c>
      <c r="I88" s="1">
        <v>45445.313888888886</v>
      </c>
      <c r="J88">
        <v>19.57</v>
      </c>
      <c r="K88" t="s">
        <v>30</v>
      </c>
      <c r="L88">
        <v>12</v>
      </c>
    </row>
    <row r="89" spans="1:12" x14ac:dyDescent="0.25">
      <c r="A89" t="s">
        <v>153</v>
      </c>
      <c r="B89" t="s">
        <v>154</v>
      </c>
      <c r="C89" t="s">
        <v>41</v>
      </c>
      <c r="D89" t="s">
        <v>42</v>
      </c>
      <c r="E89" t="s">
        <v>68</v>
      </c>
      <c r="F89">
        <v>499</v>
      </c>
      <c r="G89" s="1">
        <v>45444.7</v>
      </c>
      <c r="H89" s="1">
        <v>45444.720138888886</v>
      </c>
      <c r="I89" s="1">
        <v>45445.303472222222</v>
      </c>
      <c r="J89">
        <v>15.77</v>
      </c>
      <c r="K89" t="s">
        <v>30</v>
      </c>
      <c r="L89">
        <v>12</v>
      </c>
    </row>
    <row r="90" spans="1:12" x14ac:dyDescent="0.25">
      <c r="A90" t="s">
        <v>155</v>
      </c>
      <c r="B90" t="s">
        <v>156</v>
      </c>
      <c r="C90" t="s">
        <v>45</v>
      </c>
      <c r="D90" t="s">
        <v>46</v>
      </c>
      <c r="E90" t="s">
        <v>16</v>
      </c>
      <c r="F90">
        <v>399</v>
      </c>
      <c r="G90" s="1">
        <v>45444.491666666669</v>
      </c>
      <c r="H90" s="1">
        <v>45444.549305555556</v>
      </c>
      <c r="I90" s="1">
        <v>45445.299305555556</v>
      </c>
      <c r="J90">
        <v>16.57</v>
      </c>
      <c r="K90" t="s">
        <v>30</v>
      </c>
      <c r="L90">
        <v>12</v>
      </c>
    </row>
    <row r="91" spans="1:12" x14ac:dyDescent="0.25">
      <c r="A91" t="s">
        <v>157</v>
      </c>
      <c r="B91" t="s">
        <v>158</v>
      </c>
      <c r="C91" t="s">
        <v>45</v>
      </c>
      <c r="D91" t="s">
        <v>46</v>
      </c>
      <c r="E91" t="s">
        <v>34</v>
      </c>
      <c r="F91">
        <v>499</v>
      </c>
      <c r="G91" s="1">
        <v>45444.648611111108</v>
      </c>
      <c r="H91" s="1">
        <v>45444.672222222223</v>
      </c>
      <c r="I91" s="1">
        <v>45445.130555555559</v>
      </c>
      <c r="J91">
        <v>20.94</v>
      </c>
      <c r="K91" t="s">
        <v>17</v>
      </c>
      <c r="L91">
        <v>12</v>
      </c>
    </row>
    <row r="92" spans="1:12" x14ac:dyDescent="0.25">
      <c r="A92" t="s">
        <v>159</v>
      </c>
      <c r="B92" t="s">
        <v>127</v>
      </c>
      <c r="C92" t="s">
        <v>37</v>
      </c>
      <c r="D92" t="s">
        <v>38</v>
      </c>
      <c r="E92" t="s">
        <v>68</v>
      </c>
      <c r="F92">
        <v>1999</v>
      </c>
      <c r="G92" s="1">
        <v>45444.410416666666</v>
      </c>
      <c r="H92" s="1">
        <v>45444.435416666667</v>
      </c>
      <c r="I92" s="1">
        <v>45445.102083333331</v>
      </c>
      <c r="J92">
        <v>8.6999999999999993</v>
      </c>
      <c r="K92" t="s">
        <v>30</v>
      </c>
      <c r="L92">
        <v>12</v>
      </c>
    </row>
    <row r="93" spans="1:12" x14ac:dyDescent="0.25">
      <c r="A93" t="s">
        <v>160</v>
      </c>
      <c r="B93" t="s">
        <v>84</v>
      </c>
      <c r="C93" t="s">
        <v>45</v>
      </c>
      <c r="D93" t="s">
        <v>46</v>
      </c>
      <c r="E93" t="s">
        <v>22</v>
      </c>
      <c r="F93">
        <v>1999</v>
      </c>
      <c r="G93" s="1">
        <v>45444.383333333331</v>
      </c>
      <c r="H93" s="1">
        <v>45444.404861111114</v>
      </c>
      <c r="I93" s="1">
        <v>45444.821527777778</v>
      </c>
      <c r="J93">
        <v>24.8</v>
      </c>
      <c r="K93" t="s">
        <v>53</v>
      </c>
      <c r="L93">
        <v>12</v>
      </c>
    </row>
    <row r="94" spans="1:12" x14ac:dyDescent="0.25">
      <c r="A94" t="s">
        <v>161</v>
      </c>
      <c r="B94" t="s">
        <v>44</v>
      </c>
      <c r="C94" t="s">
        <v>20</v>
      </c>
      <c r="D94" t="s">
        <v>21</v>
      </c>
      <c r="E94" t="s">
        <v>22</v>
      </c>
      <c r="F94">
        <v>199</v>
      </c>
      <c r="G94" s="1">
        <v>45444.513888888891</v>
      </c>
      <c r="H94" s="1">
        <v>45444.573611111111</v>
      </c>
      <c r="I94" s="1">
        <v>45445.240277777775</v>
      </c>
      <c r="J94">
        <v>23.31</v>
      </c>
      <c r="K94" t="s">
        <v>23</v>
      </c>
      <c r="L94">
        <v>12</v>
      </c>
    </row>
    <row r="95" spans="1:12" x14ac:dyDescent="0.25">
      <c r="A95" t="s">
        <v>162</v>
      </c>
      <c r="B95" t="s">
        <v>81</v>
      </c>
      <c r="C95" t="s">
        <v>41</v>
      </c>
      <c r="D95" t="s">
        <v>42</v>
      </c>
      <c r="E95" t="s">
        <v>34</v>
      </c>
      <c r="F95">
        <v>1299</v>
      </c>
      <c r="G95" s="1">
        <v>45444.714583333334</v>
      </c>
      <c r="H95" s="1">
        <v>45444.784722222219</v>
      </c>
      <c r="I95" s="1">
        <v>45445.326388888891</v>
      </c>
      <c r="J95">
        <v>10.81</v>
      </c>
      <c r="K95" t="s">
        <v>53</v>
      </c>
      <c r="L95">
        <v>12</v>
      </c>
    </row>
    <row r="96" spans="1:12" x14ac:dyDescent="0.25">
      <c r="A96" t="s">
        <v>163</v>
      </c>
      <c r="B96" t="s">
        <v>44</v>
      </c>
      <c r="C96" t="s">
        <v>45</v>
      </c>
      <c r="D96" t="s">
        <v>46</v>
      </c>
      <c r="E96" t="s">
        <v>26</v>
      </c>
      <c r="F96">
        <v>199</v>
      </c>
      <c r="G96" s="1">
        <v>45444.740972222222</v>
      </c>
      <c r="H96" s="1">
        <v>45444.783333333333</v>
      </c>
      <c r="I96" s="1">
        <v>45445.074999999997</v>
      </c>
      <c r="J96">
        <v>13.37</v>
      </c>
      <c r="K96" t="s">
        <v>17</v>
      </c>
      <c r="L96">
        <v>12</v>
      </c>
    </row>
    <row r="97" spans="1:12" x14ac:dyDescent="0.25">
      <c r="A97" t="s">
        <v>164</v>
      </c>
      <c r="B97" t="s">
        <v>84</v>
      </c>
      <c r="C97" t="s">
        <v>37</v>
      </c>
      <c r="D97" t="s">
        <v>38</v>
      </c>
      <c r="E97" t="s">
        <v>34</v>
      </c>
      <c r="F97">
        <v>699</v>
      </c>
      <c r="G97" s="1">
        <v>45444.611111111109</v>
      </c>
      <c r="H97" s="1">
        <v>45444.665972222225</v>
      </c>
      <c r="I97" s="1">
        <v>45444.832638888889</v>
      </c>
      <c r="J97">
        <v>18.88</v>
      </c>
      <c r="K97" t="s">
        <v>17</v>
      </c>
      <c r="L97">
        <v>12</v>
      </c>
    </row>
    <row r="98" spans="1:12" x14ac:dyDescent="0.25">
      <c r="A98" t="s">
        <v>165</v>
      </c>
      <c r="B98" t="s">
        <v>62</v>
      </c>
      <c r="C98" t="s">
        <v>37</v>
      </c>
      <c r="D98" t="s">
        <v>38</v>
      </c>
      <c r="E98" t="s">
        <v>22</v>
      </c>
      <c r="F98">
        <v>699</v>
      </c>
      <c r="G98" s="1">
        <v>45444.456944444442</v>
      </c>
      <c r="H98" s="1">
        <v>45444.475694444445</v>
      </c>
      <c r="I98" s="1">
        <v>45445.267361111109</v>
      </c>
      <c r="J98">
        <v>17.5</v>
      </c>
      <c r="K98" t="s">
        <v>23</v>
      </c>
      <c r="L98">
        <v>12</v>
      </c>
    </row>
    <row r="99" spans="1:12" x14ac:dyDescent="0.25">
      <c r="A99" t="s">
        <v>166</v>
      </c>
      <c r="B99" t="s">
        <v>36</v>
      </c>
      <c r="C99" t="s">
        <v>41</v>
      </c>
      <c r="D99" t="s">
        <v>42</v>
      </c>
      <c r="E99" t="s">
        <v>16</v>
      </c>
      <c r="F99">
        <v>499</v>
      </c>
      <c r="G99" s="1">
        <v>45444.394444444442</v>
      </c>
      <c r="H99" s="1">
        <v>45444.470138888886</v>
      </c>
      <c r="I99" s="1">
        <v>45445.011805555558</v>
      </c>
      <c r="J99">
        <v>10.6</v>
      </c>
      <c r="K99" t="s">
        <v>30</v>
      </c>
      <c r="L99">
        <v>12</v>
      </c>
    </row>
    <row r="100" spans="1:12" x14ac:dyDescent="0.25">
      <c r="A100" t="s">
        <v>167</v>
      </c>
      <c r="B100" t="s">
        <v>104</v>
      </c>
      <c r="C100" t="s">
        <v>14</v>
      </c>
      <c r="D100" t="s">
        <v>15</v>
      </c>
      <c r="E100" t="s">
        <v>68</v>
      </c>
      <c r="F100">
        <v>1999</v>
      </c>
      <c r="G100" s="1">
        <v>45444.475694444445</v>
      </c>
      <c r="H100" s="1">
        <v>45444.495138888888</v>
      </c>
      <c r="I100" s="1">
        <v>45444.995138888888</v>
      </c>
      <c r="J100">
        <v>10.89</v>
      </c>
      <c r="K100" t="s">
        <v>17</v>
      </c>
      <c r="L100">
        <v>12</v>
      </c>
    </row>
    <row r="101" spans="1:12" x14ac:dyDescent="0.25">
      <c r="A101" t="s">
        <v>168</v>
      </c>
      <c r="B101" t="s">
        <v>88</v>
      </c>
      <c r="C101" t="s">
        <v>41</v>
      </c>
      <c r="D101" t="s">
        <v>42</v>
      </c>
      <c r="E101" t="s">
        <v>29</v>
      </c>
      <c r="F101">
        <v>299</v>
      </c>
      <c r="G101" s="1">
        <v>45444.625</v>
      </c>
      <c r="H101" s="1">
        <v>45444.688194444447</v>
      </c>
      <c r="I101" s="1">
        <v>45444.854861111111</v>
      </c>
      <c r="J101">
        <v>16.57</v>
      </c>
      <c r="K101" t="s">
        <v>17</v>
      </c>
      <c r="L101">
        <v>12</v>
      </c>
    </row>
    <row r="102" spans="1:12" x14ac:dyDescent="0.25">
      <c r="A102" t="s">
        <v>169</v>
      </c>
      <c r="B102" t="s">
        <v>55</v>
      </c>
      <c r="C102" t="s">
        <v>41</v>
      </c>
      <c r="D102" t="s">
        <v>42</v>
      </c>
      <c r="E102" t="s">
        <v>68</v>
      </c>
      <c r="F102">
        <v>1499</v>
      </c>
      <c r="G102" s="1">
        <v>45444.775694444441</v>
      </c>
      <c r="H102" s="1">
        <v>45444.851388888892</v>
      </c>
      <c r="I102" s="1">
        <v>45445.393055555556</v>
      </c>
      <c r="J102">
        <v>8.0299999999999994</v>
      </c>
      <c r="K102" t="s">
        <v>30</v>
      </c>
      <c r="L102">
        <v>12</v>
      </c>
    </row>
    <row r="103" spans="1:12" x14ac:dyDescent="0.25">
      <c r="A103" t="s">
        <v>170</v>
      </c>
      <c r="B103" t="s">
        <v>114</v>
      </c>
      <c r="C103" t="s">
        <v>20</v>
      </c>
      <c r="D103" t="s">
        <v>21</v>
      </c>
      <c r="E103" t="s">
        <v>68</v>
      </c>
      <c r="F103">
        <v>499</v>
      </c>
      <c r="G103" s="1">
        <v>45444.623611111114</v>
      </c>
      <c r="H103" s="1">
        <v>45444.652083333334</v>
      </c>
      <c r="I103" s="1">
        <v>45445.193749999999</v>
      </c>
      <c r="J103">
        <v>21.17</v>
      </c>
      <c r="K103" t="s">
        <v>30</v>
      </c>
      <c r="L103">
        <v>12</v>
      </c>
    </row>
    <row r="104" spans="1:12" x14ac:dyDescent="0.25">
      <c r="A104" t="s">
        <v>171</v>
      </c>
      <c r="B104" t="s">
        <v>64</v>
      </c>
      <c r="C104" t="s">
        <v>37</v>
      </c>
      <c r="D104" t="s">
        <v>38</v>
      </c>
      <c r="E104" t="s">
        <v>26</v>
      </c>
      <c r="F104">
        <v>299</v>
      </c>
      <c r="G104" s="1">
        <v>45444.445138888892</v>
      </c>
      <c r="H104" s="1">
        <v>45444.504166666666</v>
      </c>
      <c r="I104" s="1">
        <v>45445.254166666666</v>
      </c>
      <c r="J104">
        <v>19.260000000000002</v>
      </c>
      <c r="K104" t="s">
        <v>23</v>
      </c>
      <c r="L104">
        <v>12</v>
      </c>
    </row>
    <row r="105" spans="1:12" x14ac:dyDescent="0.25">
      <c r="A105" t="s">
        <v>172</v>
      </c>
      <c r="B105" t="s">
        <v>13</v>
      </c>
      <c r="C105" t="s">
        <v>20</v>
      </c>
      <c r="D105" t="s">
        <v>21</v>
      </c>
      <c r="E105" t="s">
        <v>34</v>
      </c>
      <c r="F105">
        <v>899</v>
      </c>
      <c r="G105" s="1">
        <v>45444.604166666664</v>
      </c>
      <c r="H105" s="1">
        <v>45444.661805555559</v>
      </c>
      <c r="I105" s="1">
        <v>45445.078472222223</v>
      </c>
      <c r="J105">
        <v>23.38</v>
      </c>
      <c r="K105" t="s">
        <v>53</v>
      </c>
      <c r="L105">
        <v>12</v>
      </c>
    </row>
    <row r="106" spans="1:12" x14ac:dyDescent="0.25">
      <c r="A106" t="s">
        <v>173</v>
      </c>
      <c r="B106" t="s">
        <v>50</v>
      </c>
      <c r="C106" t="s">
        <v>45</v>
      </c>
      <c r="D106" t="s">
        <v>46</v>
      </c>
      <c r="E106" t="s">
        <v>34</v>
      </c>
      <c r="F106">
        <v>499</v>
      </c>
      <c r="G106" s="1">
        <v>45444.655555555553</v>
      </c>
      <c r="H106" s="1">
        <v>45444.722222222219</v>
      </c>
      <c r="I106" s="1">
        <v>45444.972222222219</v>
      </c>
      <c r="J106">
        <v>24.3</v>
      </c>
      <c r="K106" t="s">
        <v>23</v>
      </c>
      <c r="L106">
        <v>12</v>
      </c>
    </row>
    <row r="107" spans="1:12" x14ac:dyDescent="0.25">
      <c r="A107" t="s">
        <v>174</v>
      </c>
      <c r="B107" t="s">
        <v>175</v>
      </c>
      <c r="C107" t="s">
        <v>45</v>
      </c>
      <c r="D107" t="s">
        <v>46</v>
      </c>
      <c r="E107" t="s">
        <v>29</v>
      </c>
      <c r="F107">
        <v>899</v>
      </c>
      <c r="G107" s="1">
        <v>45444.590277777781</v>
      </c>
      <c r="H107" s="1">
        <v>45444.629861111112</v>
      </c>
      <c r="I107" s="1">
        <v>45444.838194444441</v>
      </c>
      <c r="J107">
        <v>24.03</v>
      </c>
      <c r="K107" t="s">
        <v>30</v>
      </c>
      <c r="L107">
        <v>12</v>
      </c>
    </row>
    <row r="108" spans="1:12" x14ac:dyDescent="0.25">
      <c r="A108" t="s">
        <v>176</v>
      </c>
      <c r="B108" t="s">
        <v>122</v>
      </c>
      <c r="C108" t="s">
        <v>20</v>
      </c>
      <c r="D108" t="s">
        <v>21</v>
      </c>
      <c r="E108" t="s">
        <v>68</v>
      </c>
      <c r="F108">
        <v>1499</v>
      </c>
      <c r="G108" s="1">
        <v>45444.679861111108</v>
      </c>
      <c r="H108" s="1">
        <v>45444.695833333331</v>
      </c>
      <c r="I108" s="1">
        <v>45445.445833333331</v>
      </c>
      <c r="J108">
        <v>18.559999999999999</v>
      </c>
      <c r="K108" t="s">
        <v>17</v>
      </c>
      <c r="L108">
        <v>12</v>
      </c>
    </row>
    <row r="109" spans="1:12" x14ac:dyDescent="0.25">
      <c r="A109" t="s">
        <v>177</v>
      </c>
      <c r="B109" t="s">
        <v>40</v>
      </c>
      <c r="C109" t="s">
        <v>14</v>
      </c>
      <c r="D109" t="s">
        <v>15</v>
      </c>
      <c r="E109" t="s">
        <v>68</v>
      </c>
      <c r="F109">
        <v>2499</v>
      </c>
      <c r="G109" s="1">
        <v>45444.548611111109</v>
      </c>
      <c r="H109" s="1">
        <v>45444.585416666669</v>
      </c>
      <c r="I109" s="1">
        <v>45445.293749999997</v>
      </c>
      <c r="J109">
        <v>14.46</v>
      </c>
      <c r="K109" t="s">
        <v>17</v>
      </c>
      <c r="L109">
        <v>12</v>
      </c>
    </row>
    <row r="110" spans="1:12" x14ac:dyDescent="0.25">
      <c r="A110" t="s">
        <v>178</v>
      </c>
      <c r="B110" t="s">
        <v>78</v>
      </c>
      <c r="C110" t="s">
        <v>37</v>
      </c>
      <c r="D110" t="s">
        <v>38</v>
      </c>
      <c r="E110" t="s">
        <v>34</v>
      </c>
      <c r="F110">
        <v>899</v>
      </c>
      <c r="G110" s="1">
        <v>45444.789583333331</v>
      </c>
      <c r="H110" s="1">
        <v>45444.8125</v>
      </c>
      <c r="I110" s="1">
        <v>45445.604166666664</v>
      </c>
      <c r="J110">
        <v>12.1</v>
      </c>
      <c r="K110" t="s">
        <v>30</v>
      </c>
      <c r="L110">
        <v>12</v>
      </c>
    </row>
    <row r="111" spans="1:12" x14ac:dyDescent="0.25">
      <c r="A111" t="s">
        <v>179</v>
      </c>
      <c r="B111" t="s">
        <v>180</v>
      </c>
      <c r="C111" t="s">
        <v>20</v>
      </c>
      <c r="D111" t="s">
        <v>21</v>
      </c>
      <c r="E111" t="s">
        <v>26</v>
      </c>
      <c r="F111">
        <v>1999</v>
      </c>
      <c r="G111" s="1">
        <v>45444.62222222222</v>
      </c>
      <c r="H111" s="1">
        <v>45444.636805555558</v>
      </c>
      <c r="I111" s="1">
        <v>45445.178472222222</v>
      </c>
      <c r="J111">
        <v>22.02</v>
      </c>
      <c r="K111" t="s">
        <v>30</v>
      </c>
      <c r="L111">
        <v>12</v>
      </c>
    </row>
    <row r="112" spans="1:12" x14ac:dyDescent="0.25">
      <c r="A112" t="s">
        <v>181</v>
      </c>
      <c r="B112" t="s">
        <v>94</v>
      </c>
      <c r="C112" t="s">
        <v>41</v>
      </c>
      <c r="D112" t="s">
        <v>42</v>
      </c>
      <c r="E112" t="s">
        <v>16</v>
      </c>
      <c r="F112">
        <v>1299</v>
      </c>
      <c r="G112" s="1">
        <v>45444.583333333336</v>
      </c>
      <c r="H112" s="1">
        <v>45444.65625</v>
      </c>
      <c r="I112" s="1">
        <v>45445.322916666664</v>
      </c>
      <c r="J112">
        <v>6.39</v>
      </c>
      <c r="K112" t="s">
        <v>17</v>
      </c>
      <c r="L112">
        <v>12</v>
      </c>
    </row>
    <row r="113" spans="1:12" x14ac:dyDescent="0.25">
      <c r="A113" t="s">
        <v>182</v>
      </c>
      <c r="B113" t="s">
        <v>70</v>
      </c>
      <c r="C113" t="s">
        <v>14</v>
      </c>
      <c r="D113" t="s">
        <v>15</v>
      </c>
      <c r="E113" t="s">
        <v>22</v>
      </c>
      <c r="F113">
        <v>299</v>
      </c>
      <c r="G113" s="1">
        <v>45444.497916666667</v>
      </c>
      <c r="H113" s="1">
        <v>45444.578472222223</v>
      </c>
      <c r="I113" s="1">
        <v>45444.870138888888</v>
      </c>
      <c r="J113">
        <v>17.3</v>
      </c>
      <c r="K113" t="s">
        <v>23</v>
      </c>
      <c r="L113">
        <v>12</v>
      </c>
    </row>
    <row r="114" spans="1:12" x14ac:dyDescent="0.25">
      <c r="A114" t="s">
        <v>183</v>
      </c>
      <c r="B114" t="s">
        <v>175</v>
      </c>
      <c r="C114" t="s">
        <v>41</v>
      </c>
      <c r="D114" t="s">
        <v>42</v>
      </c>
      <c r="E114" t="s">
        <v>34</v>
      </c>
      <c r="F114">
        <v>199</v>
      </c>
      <c r="G114" s="1">
        <v>45444.538194444445</v>
      </c>
      <c r="H114" s="1">
        <v>45444.555555555555</v>
      </c>
      <c r="I114" s="1">
        <v>45444.888888888891</v>
      </c>
      <c r="J114">
        <v>11.1</v>
      </c>
      <c r="K114" t="s">
        <v>30</v>
      </c>
      <c r="L114">
        <v>12</v>
      </c>
    </row>
    <row r="115" spans="1:12" x14ac:dyDescent="0.25">
      <c r="A115" t="s">
        <v>184</v>
      </c>
      <c r="B115" t="s">
        <v>94</v>
      </c>
      <c r="C115" t="s">
        <v>45</v>
      </c>
      <c r="D115" t="s">
        <v>46</v>
      </c>
      <c r="E115" t="s">
        <v>26</v>
      </c>
      <c r="F115">
        <v>499</v>
      </c>
      <c r="G115" s="1">
        <v>45444.440972222219</v>
      </c>
      <c r="H115" s="1">
        <v>45444.503472222219</v>
      </c>
      <c r="I115" s="1">
        <v>45444.920138888891</v>
      </c>
      <c r="J115">
        <v>5.79</v>
      </c>
      <c r="K115" t="s">
        <v>17</v>
      </c>
      <c r="L115">
        <v>12</v>
      </c>
    </row>
    <row r="116" spans="1:12" x14ac:dyDescent="0.25">
      <c r="A116" t="s">
        <v>185</v>
      </c>
      <c r="B116" t="s">
        <v>75</v>
      </c>
      <c r="C116" t="s">
        <v>20</v>
      </c>
      <c r="D116" t="s">
        <v>21</v>
      </c>
      <c r="E116" t="s">
        <v>22</v>
      </c>
      <c r="F116">
        <v>499</v>
      </c>
      <c r="G116" s="1">
        <v>45444.661805555559</v>
      </c>
      <c r="H116" s="1">
        <v>45444.742361111108</v>
      </c>
      <c r="I116" s="1">
        <v>45445.075694444444</v>
      </c>
      <c r="J116">
        <v>6.76</v>
      </c>
      <c r="K116" t="s">
        <v>17</v>
      </c>
      <c r="L116">
        <v>12</v>
      </c>
    </row>
    <row r="117" spans="1:12" x14ac:dyDescent="0.25">
      <c r="A117" t="s">
        <v>186</v>
      </c>
      <c r="B117" t="s">
        <v>36</v>
      </c>
      <c r="C117" t="s">
        <v>41</v>
      </c>
      <c r="D117" t="s">
        <v>42</v>
      </c>
      <c r="E117" t="s">
        <v>29</v>
      </c>
      <c r="F117">
        <v>199</v>
      </c>
      <c r="G117" s="1">
        <v>45444.617361111108</v>
      </c>
      <c r="H117" s="1">
        <v>45444.678472222222</v>
      </c>
      <c r="I117" s="1">
        <v>45445.386805555558</v>
      </c>
      <c r="J117">
        <v>12.48</v>
      </c>
      <c r="K117" t="s">
        <v>23</v>
      </c>
      <c r="L117">
        <v>12</v>
      </c>
    </row>
    <row r="118" spans="1:12" x14ac:dyDescent="0.25">
      <c r="A118" t="s">
        <v>187</v>
      </c>
      <c r="B118" t="s">
        <v>156</v>
      </c>
      <c r="C118" t="s">
        <v>45</v>
      </c>
      <c r="D118" t="s">
        <v>46</v>
      </c>
      <c r="E118" t="s">
        <v>26</v>
      </c>
      <c r="F118">
        <v>199</v>
      </c>
      <c r="G118" s="1">
        <v>45444.78402777778</v>
      </c>
      <c r="H118" s="1">
        <v>45444.802083333336</v>
      </c>
      <c r="I118" s="1">
        <v>45445.59375</v>
      </c>
      <c r="J118">
        <v>6.67</v>
      </c>
      <c r="K118" t="s">
        <v>23</v>
      </c>
      <c r="L118">
        <v>12</v>
      </c>
    </row>
    <row r="119" spans="1:12" x14ac:dyDescent="0.25">
      <c r="A119" t="s">
        <v>188</v>
      </c>
      <c r="B119" t="s">
        <v>132</v>
      </c>
      <c r="C119" t="s">
        <v>14</v>
      </c>
      <c r="D119" t="s">
        <v>15</v>
      </c>
      <c r="E119" t="s">
        <v>22</v>
      </c>
      <c r="F119">
        <v>199</v>
      </c>
      <c r="G119" s="1">
        <v>45444.728472222225</v>
      </c>
      <c r="H119" s="1">
        <v>45444.800694444442</v>
      </c>
      <c r="I119" s="1">
        <v>45445.467361111114</v>
      </c>
      <c r="J119">
        <v>22.03</v>
      </c>
      <c r="K119" t="s">
        <v>53</v>
      </c>
      <c r="L119">
        <v>12</v>
      </c>
    </row>
    <row r="120" spans="1:12" x14ac:dyDescent="0.25">
      <c r="A120" t="s">
        <v>189</v>
      </c>
      <c r="B120" t="s">
        <v>66</v>
      </c>
      <c r="C120" t="s">
        <v>14</v>
      </c>
      <c r="D120" t="s">
        <v>15</v>
      </c>
      <c r="E120" t="s">
        <v>16</v>
      </c>
      <c r="F120">
        <v>499</v>
      </c>
      <c r="G120" s="1">
        <v>45444.379861111112</v>
      </c>
      <c r="H120" s="1">
        <v>45444.458333333336</v>
      </c>
      <c r="I120" s="1">
        <v>45445.125</v>
      </c>
      <c r="J120">
        <v>14.54</v>
      </c>
      <c r="K120" t="s">
        <v>23</v>
      </c>
      <c r="L120">
        <v>12</v>
      </c>
    </row>
    <row r="121" spans="1:12" x14ac:dyDescent="0.25">
      <c r="A121" t="s">
        <v>190</v>
      </c>
      <c r="B121" t="s">
        <v>158</v>
      </c>
      <c r="C121" t="s">
        <v>37</v>
      </c>
      <c r="D121" t="s">
        <v>38</v>
      </c>
      <c r="E121" t="s">
        <v>34</v>
      </c>
      <c r="F121">
        <v>2499</v>
      </c>
      <c r="G121" s="1">
        <v>45444.431944444441</v>
      </c>
      <c r="H121" s="1">
        <v>45444.465277777781</v>
      </c>
      <c r="I121" s="1">
        <v>45445.256944444445</v>
      </c>
      <c r="J121">
        <v>8.8000000000000007</v>
      </c>
      <c r="K121" t="s">
        <v>30</v>
      </c>
      <c r="L121">
        <v>12</v>
      </c>
    </row>
    <row r="122" spans="1:12" x14ac:dyDescent="0.25">
      <c r="A122" t="s">
        <v>191</v>
      </c>
      <c r="B122" t="s">
        <v>96</v>
      </c>
      <c r="C122" t="s">
        <v>45</v>
      </c>
      <c r="D122" t="s">
        <v>46</v>
      </c>
      <c r="E122" t="s">
        <v>68</v>
      </c>
      <c r="F122">
        <v>299</v>
      </c>
      <c r="G122" s="1">
        <v>45444.652083333334</v>
      </c>
      <c r="H122" s="1">
        <v>45444.724305555559</v>
      </c>
      <c r="I122" s="1">
        <v>45445.057638888888</v>
      </c>
      <c r="J122">
        <v>16.04</v>
      </c>
      <c r="K122" t="s">
        <v>23</v>
      </c>
      <c r="L122">
        <v>12</v>
      </c>
    </row>
    <row r="123" spans="1:12" x14ac:dyDescent="0.25">
      <c r="A123" t="s">
        <v>192</v>
      </c>
      <c r="B123" t="s">
        <v>55</v>
      </c>
      <c r="C123" t="s">
        <v>45</v>
      </c>
      <c r="D123" t="s">
        <v>46</v>
      </c>
      <c r="E123" t="s">
        <v>34</v>
      </c>
      <c r="F123">
        <v>1999</v>
      </c>
      <c r="G123" s="1">
        <v>45444.649305555555</v>
      </c>
      <c r="H123" s="1">
        <v>45444.695138888892</v>
      </c>
      <c r="I123" s="1">
        <v>45445.195138888892</v>
      </c>
      <c r="J123">
        <v>20.64</v>
      </c>
      <c r="K123" t="s">
        <v>30</v>
      </c>
      <c r="L123">
        <v>12</v>
      </c>
    </row>
    <row r="124" spans="1:12" x14ac:dyDescent="0.25">
      <c r="A124" t="s">
        <v>193</v>
      </c>
      <c r="B124" t="s">
        <v>180</v>
      </c>
      <c r="C124" t="s">
        <v>14</v>
      </c>
      <c r="D124" t="s">
        <v>15</v>
      </c>
      <c r="E124" t="s">
        <v>16</v>
      </c>
      <c r="F124">
        <v>899</v>
      </c>
      <c r="G124" s="1">
        <v>45444.424305555556</v>
      </c>
      <c r="H124" s="1">
        <v>45444.477083333331</v>
      </c>
      <c r="I124" s="1">
        <v>45444.852083333331</v>
      </c>
      <c r="J124">
        <v>12.18</v>
      </c>
      <c r="K124" t="s">
        <v>53</v>
      </c>
      <c r="L124">
        <v>12</v>
      </c>
    </row>
    <row r="125" spans="1:12" x14ac:dyDescent="0.25">
      <c r="A125" t="s">
        <v>194</v>
      </c>
      <c r="B125" t="s">
        <v>127</v>
      </c>
      <c r="C125" t="s">
        <v>20</v>
      </c>
      <c r="D125" t="s">
        <v>21</v>
      </c>
      <c r="E125" t="s">
        <v>26</v>
      </c>
      <c r="F125">
        <v>2499</v>
      </c>
      <c r="G125" s="1">
        <v>45444.452777777777</v>
      </c>
      <c r="H125" s="1">
        <v>45444.529861111114</v>
      </c>
      <c r="I125" s="1">
        <v>45444.946527777778</v>
      </c>
      <c r="J125">
        <v>10.06</v>
      </c>
      <c r="K125" t="s">
        <v>17</v>
      </c>
      <c r="L125">
        <v>12</v>
      </c>
    </row>
    <row r="126" spans="1:12" x14ac:dyDescent="0.25">
      <c r="A126" t="s">
        <v>195</v>
      </c>
      <c r="B126" t="s">
        <v>84</v>
      </c>
      <c r="C126" t="s">
        <v>41</v>
      </c>
      <c r="D126" t="s">
        <v>42</v>
      </c>
      <c r="E126" t="s">
        <v>16</v>
      </c>
      <c r="F126">
        <v>1499</v>
      </c>
      <c r="G126" s="1">
        <v>45444.461111111108</v>
      </c>
      <c r="H126" s="1">
        <v>45444.5</v>
      </c>
      <c r="I126" s="1">
        <v>45445</v>
      </c>
      <c r="J126">
        <v>6.21</v>
      </c>
      <c r="K126" t="s">
        <v>30</v>
      </c>
      <c r="L126">
        <v>12</v>
      </c>
    </row>
    <row r="127" spans="1:12" x14ac:dyDescent="0.25">
      <c r="A127" t="s">
        <v>196</v>
      </c>
      <c r="B127" t="s">
        <v>48</v>
      </c>
      <c r="C127" t="s">
        <v>14</v>
      </c>
      <c r="D127" t="s">
        <v>15</v>
      </c>
      <c r="E127" t="s">
        <v>26</v>
      </c>
      <c r="F127">
        <v>399</v>
      </c>
      <c r="G127" s="1">
        <v>45444.671527777777</v>
      </c>
      <c r="H127" s="1">
        <v>45444.744444444441</v>
      </c>
      <c r="I127" s="1">
        <v>45445.244444444441</v>
      </c>
      <c r="J127">
        <v>24.46</v>
      </c>
      <c r="K127" t="s">
        <v>17</v>
      </c>
      <c r="L127">
        <v>12</v>
      </c>
    </row>
    <row r="128" spans="1:12" x14ac:dyDescent="0.25">
      <c r="A128" t="s">
        <v>197</v>
      </c>
      <c r="B128" t="s">
        <v>72</v>
      </c>
      <c r="C128" t="s">
        <v>20</v>
      </c>
      <c r="D128" t="s">
        <v>21</v>
      </c>
      <c r="E128" t="s">
        <v>68</v>
      </c>
      <c r="F128">
        <v>2499</v>
      </c>
      <c r="G128" s="1">
        <v>45444.426388888889</v>
      </c>
      <c r="H128" s="1">
        <v>45444.448611111111</v>
      </c>
      <c r="I128" s="1">
        <v>45444.656944444447</v>
      </c>
      <c r="J128">
        <v>12.74</v>
      </c>
      <c r="K128" t="s">
        <v>53</v>
      </c>
      <c r="L128">
        <v>12</v>
      </c>
    </row>
    <row r="129" spans="1:12" x14ac:dyDescent="0.25">
      <c r="A129" t="s">
        <v>198</v>
      </c>
      <c r="B129" t="s">
        <v>13</v>
      </c>
      <c r="C129" t="s">
        <v>20</v>
      </c>
      <c r="D129" t="s">
        <v>21</v>
      </c>
      <c r="E129" t="s">
        <v>22</v>
      </c>
      <c r="F129">
        <v>1999</v>
      </c>
      <c r="G129" s="1">
        <v>45444.694444444445</v>
      </c>
      <c r="H129" s="1">
        <v>45444.711805555555</v>
      </c>
      <c r="I129" s="1">
        <v>45445.128472222219</v>
      </c>
      <c r="J129">
        <v>22.89</v>
      </c>
      <c r="K129" t="s">
        <v>53</v>
      </c>
      <c r="L129">
        <v>12</v>
      </c>
    </row>
    <row r="130" spans="1:12" x14ac:dyDescent="0.25">
      <c r="A130" t="s">
        <v>199</v>
      </c>
      <c r="B130" t="s">
        <v>52</v>
      </c>
      <c r="C130" t="s">
        <v>41</v>
      </c>
      <c r="D130" t="s">
        <v>42</v>
      </c>
      <c r="E130" t="s">
        <v>22</v>
      </c>
      <c r="F130">
        <v>699</v>
      </c>
      <c r="G130" s="1">
        <v>45444.490972222222</v>
      </c>
      <c r="H130" s="1">
        <v>45444.512499999997</v>
      </c>
      <c r="I130" s="1">
        <v>45444.804166666669</v>
      </c>
      <c r="J130">
        <v>22.33</v>
      </c>
      <c r="K130" t="s">
        <v>17</v>
      </c>
      <c r="L130">
        <v>12</v>
      </c>
    </row>
    <row r="131" spans="1:12" x14ac:dyDescent="0.25">
      <c r="A131" t="s">
        <v>200</v>
      </c>
      <c r="B131" t="s">
        <v>96</v>
      </c>
      <c r="C131" t="s">
        <v>14</v>
      </c>
      <c r="D131" t="s">
        <v>15</v>
      </c>
      <c r="E131" t="s">
        <v>22</v>
      </c>
      <c r="F131">
        <v>1999</v>
      </c>
      <c r="G131" s="1">
        <v>45444.672222222223</v>
      </c>
      <c r="H131" s="1">
        <v>45444.724999999999</v>
      </c>
      <c r="I131" s="1">
        <v>45445.26666666667</v>
      </c>
      <c r="J131">
        <v>15.57</v>
      </c>
      <c r="K131" t="s">
        <v>53</v>
      </c>
      <c r="L131">
        <v>12</v>
      </c>
    </row>
    <row r="132" spans="1:12" x14ac:dyDescent="0.25">
      <c r="A132" t="s">
        <v>201</v>
      </c>
      <c r="B132" t="s">
        <v>55</v>
      </c>
      <c r="C132" t="s">
        <v>41</v>
      </c>
      <c r="D132" t="s">
        <v>42</v>
      </c>
      <c r="E132" t="s">
        <v>16</v>
      </c>
      <c r="F132">
        <v>1499</v>
      </c>
      <c r="G132" s="1">
        <v>45444.470138888886</v>
      </c>
      <c r="H132" s="1">
        <v>45444.503472222219</v>
      </c>
      <c r="I132" s="1">
        <v>45445.086805555555</v>
      </c>
      <c r="J132">
        <v>9.4499999999999993</v>
      </c>
      <c r="K132" t="s">
        <v>23</v>
      </c>
      <c r="L132">
        <v>12</v>
      </c>
    </row>
    <row r="133" spans="1:12" x14ac:dyDescent="0.25">
      <c r="A133" t="s">
        <v>202</v>
      </c>
      <c r="B133" t="s">
        <v>78</v>
      </c>
      <c r="C133" t="s">
        <v>14</v>
      </c>
      <c r="D133" t="s">
        <v>15</v>
      </c>
      <c r="E133" t="s">
        <v>22</v>
      </c>
      <c r="F133">
        <v>1999</v>
      </c>
      <c r="G133" s="1">
        <v>45444.688888888886</v>
      </c>
      <c r="H133" s="1">
        <v>45444.731944444444</v>
      </c>
      <c r="I133" s="1">
        <v>45445.44027777778</v>
      </c>
      <c r="J133">
        <v>17.82</v>
      </c>
      <c r="K133" t="s">
        <v>53</v>
      </c>
      <c r="L133">
        <v>12</v>
      </c>
    </row>
    <row r="134" spans="1:12" x14ac:dyDescent="0.25">
      <c r="A134" t="s">
        <v>203</v>
      </c>
      <c r="B134" t="s">
        <v>180</v>
      </c>
      <c r="C134" t="s">
        <v>45</v>
      </c>
      <c r="D134" t="s">
        <v>46</v>
      </c>
      <c r="E134" t="s">
        <v>29</v>
      </c>
      <c r="F134">
        <v>199</v>
      </c>
      <c r="G134" s="1">
        <v>45444.772916666669</v>
      </c>
      <c r="H134" s="1">
        <v>45444.821527777778</v>
      </c>
      <c r="I134" s="1">
        <v>45445.321527777778</v>
      </c>
      <c r="J134">
        <v>6.4</v>
      </c>
      <c r="K134" t="s">
        <v>23</v>
      </c>
      <c r="L134">
        <v>12</v>
      </c>
    </row>
    <row r="135" spans="1:12" x14ac:dyDescent="0.25">
      <c r="A135" t="s">
        <v>204</v>
      </c>
      <c r="B135" t="s">
        <v>78</v>
      </c>
      <c r="C135" t="s">
        <v>45</v>
      </c>
      <c r="D135" t="s">
        <v>46</v>
      </c>
      <c r="E135" t="s">
        <v>29</v>
      </c>
      <c r="F135">
        <v>399</v>
      </c>
      <c r="G135" s="1">
        <v>45444.583333333336</v>
      </c>
      <c r="H135" s="1">
        <v>45444.645138888889</v>
      </c>
      <c r="I135" s="1">
        <v>45445.270138888889</v>
      </c>
      <c r="J135">
        <v>17.53</v>
      </c>
      <c r="K135" t="s">
        <v>17</v>
      </c>
      <c r="L135">
        <v>12</v>
      </c>
    </row>
    <row r="136" spans="1:12" x14ac:dyDescent="0.25">
      <c r="A136" t="s">
        <v>205</v>
      </c>
      <c r="B136" t="s">
        <v>180</v>
      </c>
      <c r="C136" t="s">
        <v>14</v>
      </c>
      <c r="D136" t="s">
        <v>15</v>
      </c>
      <c r="E136" t="s">
        <v>34</v>
      </c>
      <c r="F136">
        <v>2499</v>
      </c>
      <c r="G136" s="1">
        <v>45444.407638888886</v>
      </c>
      <c r="H136" s="1">
        <v>45444.427083333336</v>
      </c>
      <c r="I136" s="1">
        <v>45445.010416666664</v>
      </c>
      <c r="J136">
        <v>21.3</v>
      </c>
      <c r="K136" t="s">
        <v>53</v>
      </c>
      <c r="L136">
        <v>12</v>
      </c>
    </row>
    <row r="137" spans="1:12" x14ac:dyDescent="0.25">
      <c r="A137" t="s">
        <v>206</v>
      </c>
      <c r="B137" t="s">
        <v>72</v>
      </c>
      <c r="C137" t="s">
        <v>45</v>
      </c>
      <c r="D137" t="s">
        <v>46</v>
      </c>
      <c r="E137" t="s">
        <v>68</v>
      </c>
      <c r="F137">
        <v>299</v>
      </c>
      <c r="G137" s="1">
        <v>45444.536805555559</v>
      </c>
      <c r="H137" s="1">
        <v>45444.554166666669</v>
      </c>
      <c r="I137" s="1">
        <v>45445.304166666669</v>
      </c>
      <c r="J137">
        <v>7.14</v>
      </c>
      <c r="K137" t="s">
        <v>30</v>
      </c>
      <c r="L137">
        <v>12</v>
      </c>
    </row>
    <row r="138" spans="1:12" x14ac:dyDescent="0.25">
      <c r="A138" t="s">
        <v>207</v>
      </c>
      <c r="B138" t="s">
        <v>175</v>
      </c>
      <c r="C138" t="s">
        <v>41</v>
      </c>
      <c r="D138" t="s">
        <v>42</v>
      </c>
      <c r="E138" t="s">
        <v>22</v>
      </c>
      <c r="F138">
        <v>1999</v>
      </c>
      <c r="G138" s="1">
        <v>45444.448611111111</v>
      </c>
      <c r="H138" s="1">
        <v>45444.474305555559</v>
      </c>
      <c r="I138" s="1">
        <v>45445.140972222223</v>
      </c>
      <c r="J138">
        <v>23.21</v>
      </c>
      <c r="K138" t="s">
        <v>23</v>
      </c>
      <c r="L138">
        <v>12</v>
      </c>
    </row>
    <row r="139" spans="1:12" x14ac:dyDescent="0.25">
      <c r="A139" t="s">
        <v>208</v>
      </c>
      <c r="B139" t="s">
        <v>156</v>
      </c>
      <c r="C139" t="s">
        <v>45</v>
      </c>
      <c r="D139" t="s">
        <v>46</v>
      </c>
      <c r="E139" t="s">
        <v>16</v>
      </c>
      <c r="F139">
        <v>399</v>
      </c>
      <c r="G139" s="1">
        <v>45444.570833333331</v>
      </c>
      <c r="H139" s="1">
        <v>45444.636111111111</v>
      </c>
      <c r="I139" s="1">
        <v>45445.094444444447</v>
      </c>
      <c r="J139">
        <v>16.98</v>
      </c>
      <c r="K139" t="s">
        <v>17</v>
      </c>
      <c r="L139">
        <v>12</v>
      </c>
    </row>
    <row r="140" spans="1:12" x14ac:dyDescent="0.25">
      <c r="A140" t="s">
        <v>209</v>
      </c>
      <c r="B140" t="s">
        <v>122</v>
      </c>
      <c r="C140" t="s">
        <v>14</v>
      </c>
      <c r="D140" t="s">
        <v>15</v>
      </c>
      <c r="E140" t="s">
        <v>29</v>
      </c>
      <c r="F140">
        <v>899</v>
      </c>
      <c r="G140" s="1">
        <v>45444.455555555556</v>
      </c>
      <c r="H140" s="1">
        <v>45444.50277777778</v>
      </c>
      <c r="I140" s="1">
        <v>45444.669444444444</v>
      </c>
      <c r="J140">
        <v>13.41</v>
      </c>
      <c r="K140" t="s">
        <v>23</v>
      </c>
      <c r="L140">
        <v>12</v>
      </c>
    </row>
    <row r="141" spans="1:12" x14ac:dyDescent="0.25">
      <c r="A141" t="s">
        <v>210</v>
      </c>
      <c r="B141" t="s">
        <v>50</v>
      </c>
      <c r="C141" t="s">
        <v>41</v>
      </c>
      <c r="D141" t="s">
        <v>42</v>
      </c>
      <c r="E141" t="s">
        <v>22</v>
      </c>
      <c r="F141">
        <v>2499</v>
      </c>
      <c r="G141" s="1">
        <v>45444.459722222222</v>
      </c>
      <c r="H141" s="1">
        <v>45444.496527777781</v>
      </c>
      <c r="I141" s="1">
        <v>45444.788194444445</v>
      </c>
      <c r="J141">
        <v>20.96</v>
      </c>
      <c r="K141" t="s">
        <v>17</v>
      </c>
      <c r="L141">
        <v>12</v>
      </c>
    </row>
    <row r="142" spans="1:12" x14ac:dyDescent="0.25">
      <c r="A142" t="s">
        <v>211</v>
      </c>
      <c r="B142" t="s">
        <v>122</v>
      </c>
      <c r="C142" t="s">
        <v>41</v>
      </c>
      <c r="D142" t="s">
        <v>42</v>
      </c>
      <c r="E142" t="s">
        <v>68</v>
      </c>
      <c r="F142">
        <v>699</v>
      </c>
      <c r="G142" s="1">
        <v>45444.784722222219</v>
      </c>
      <c r="H142" s="1">
        <v>45444.822222222225</v>
      </c>
      <c r="I142" s="1">
        <v>45445.030555555553</v>
      </c>
      <c r="J142">
        <v>18.82</v>
      </c>
      <c r="K142" t="s">
        <v>23</v>
      </c>
      <c r="L142">
        <v>12</v>
      </c>
    </row>
    <row r="143" spans="1:12" x14ac:dyDescent="0.25">
      <c r="A143" t="s">
        <v>212</v>
      </c>
      <c r="B143" t="s">
        <v>94</v>
      </c>
      <c r="C143" t="s">
        <v>14</v>
      </c>
      <c r="D143" t="s">
        <v>15</v>
      </c>
      <c r="E143" t="s">
        <v>26</v>
      </c>
      <c r="F143">
        <v>1299</v>
      </c>
      <c r="G143" s="1">
        <v>45444.640277777777</v>
      </c>
      <c r="H143" s="1">
        <v>45444.657638888886</v>
      </c>
      <c r="I143" s="1">
        <v>45445.240972222222</v>
      </c>
      <c r="J143">
        <v>8.17</v>
      </c>
      <c r="K143" t="s">
        <v>30</v>
      </c>
      <c r="L143">
        <v>12</v>
      </c>
    </row>
    <row r="144" spans="1:12" x14ac:dyDescent="0.25">
      <c r="A144" t="s">
        <v>213</v>
      </c>
      <c r="B144" t="s">
        <v>141</v>
      </c>
      <c r="C144" t="s">
        <v>14</v>
      </c>
      <c r="D144" t="s">
        <v>15</v>
      </c>
      <c r="E144" t="s">
        <v>22</v>
      </c>
      <c r="F144">
        <v>199</v>
      </c>
      <c r="G144" s="1">
        <v>45444.477083333331</v>
      </c>
      <c r="H144" s="1">
        <v>45444.525000000001</v>
      </c>
      <c r="I144" s="1">
        <v>45445.275000000001</v>
      </c>
      <c r="J144">
        <v>7.58</v>
      </c>
      <c r="K144" t="s">
        <v>23</v>
      </c>
      <c r="L144">
        <v>12</v>
      </c>
    </row>
    <row r="145" spans="1:12" x14ac:dyDescent="0.25">
      <c r="A145" t="s">
        <v>214</v>
      </c>
      <c r="B145" t="s">
        <v>215</v>
      </c>
      <c r="C145" t="s">
        <v>41</v>
      </c>
      <c r="D145" t="s">
        <v>42</v>
      </c>
      <c r="E145" t="s">
        <v>68</v>
      </c>
      <c r="F145">
        <v>1499</v>
      </c>
      <c r="G145" s="1">
        <v>45444.48541666667</v>
      </c>
      <c r="H145" s="1">
        <v>45444.525000000001</v>
      </c>
      <c r="I145" s="1">
        <v>45444.816666666666</v>
      </c>
      <c r="J145">
        <v>19.420000000000002</v>
      </c>
      <c r="K145" t="s">
        <v>17</v>
      </c>
      <c r="L145">
        <v>12</v>
      </c>
    </row>
    <row r="146" spans="1:12" x14ac:dyDescent="0.25">
      <c r="A146" t="s">
        <v>216</v>
      </c>
      <c r="B146" t="s">
        <v>62</v>
      </c>
      <c r="C146" t="s">
        <v>45</v>
      </c>
      <c r="D146" t="s">
        <v>46</v>
      </c>
      <c r="E146" t="s">
        <v>22</v>
      </c>
      <c r="F146">
        <v>299</v>
      </c>
      <c r="G146" s="1">
        <v>45444.590277777781</v>
      </c>
      <c r="H146" s="1">
        <v>45444.615972222222</v>
      </c>
      <c r="I146" s="1">
        <v>45445.199305555558</v>
      </c>
      <c r="J146">
        <v>7.18</v>
      </c>
      <c r="K146" t="s">
        <v>17</v>
      </c>
      <c r="L146">
        <v>12</v>
      </c>
    </row>
    <row r="147" spans="1:12" x14ac:dyDescent="0.25">
      <c r="A147" t="s">
        <v>217</v>
      </c>
      <c r="B147" t="s">
        <v>66</v>
      </c>
      <c r="C147" t="s">
        <v>45</v>
      </c>
      <c r="D147" t="s">
        <v>46</v>
      </c>
      <c r="E147" t="s">
        <v>34</v>
      </c>
      <c r="F147">
        <v>399</v>
      </c>
      <c r="G147" s="1">
        <v>45444.535416666666</v>
      </c>
      <c r="H147" s="1">
        <v>45444.581944444442</v>
      </c>
      <c r="I147" s="1">
        <v>45445.123611111114</v>
      </c>
      <c r="J147">
        <v>10.62</v>
      </c>
      <c r="K147" t="s">
        <v>23</v>
      </c>
      <c r="L147">
        <v>12</v>
      </c>
    </row>
    <row r="148" spans="1:12" x14ac:dyDescent="0.25">
      <c r="A148" t="s">
        <v>218</v>
      </c>
      <c r="B148" t="s">
        <v>44</v>
      </c>
      <c r="C148" t="s">
        <v>14</v>
      </c>
      <c r="D148" t="s">
        <v>15</v>
      </c>
      <c r="E148" t="s">
        <v>68</v>
      </c>
      <c r="F148">
        <v>1299</v>
      </c>
      <c r="G148" s="1">
        <v>45444.426388888889</v>
      </c>
      <c r="H148" s="1">
        <v>45444.453472222223</v>
      </c>
      <c r="I148" s="1">
        <v>45444.995138888888</v>
      </c>
      <c r="J148">
        <v>22.76</v>
      </c>
      <c r="K148" t="s">
        <v>30</v>
      </c>
      <c r="L148">
        <v>12</v>
      </c>
    </row>
    <row r="149" spans="1:12" x14ac:dyDescent="0.25">
      <c r="A149" t="s">
        <v>219</v>
      </c>
      <c r="B149" t="s">
        <v>215</v>
      </c>
      <c r="C149" t="s">
        <v>45</v>
      </c>
      <c r="D149" t="s">
        <v>46</v>
      </c>
      <c r="E149" t="s">
        <v>34</v>
      </c>
      <c r="F149">
        <v>1499</v>
      </c>
      <c r="G149" s="1">
        <v>45444.613888888889</v>
      </c>
      <c r="H149" s="1">
        <v>45444.628472222219</v>
      </c>
      <c r="I149" s="1">
        <v>45445.295138888891</v>
      </c>
      <c r="J149">
        <v>12.96</v>
      </c>
      <c r="K149" t="s">
        <v>23</v>
      </c>
      <c r="L149">
        <v>12</v>
      </c>
    </row>
    <row r="150" spans="1:12" x14ac:dyDescent="0.25">
      <c r="A150" t="s">
        <v>220</v>
      </c>
      <c r="B150" t="s">
        <v>94</v>
      </c>
      <c r="C150" t="s">
        <v>37</v>
      </c>
      <c r="D150" t="s">
        <v>38</v>
      </c>
      <c r="E150" t="s">
        <v>68</v>
      </c>
      <c r="F150">
        <v>499</v>
      </c>
      <c r="G150" s="1">
        <v>45444.714583333334</v>
      </c>
      <c r="H150" s="1">
        <v>45444.728472222225</v>
      </c>
      <c r="I150" s="1">
        <v>45445.228472222225</v>
      </c>
      <c r="J150">
        <v>8.59</v>
      </c>
      <c r="K150" t="s">
        <v>17</v>
      </c>
      <c r="L150">
        <v>12</v>
      </c>
    </row>
    <row r="151" spans="1:12" x14ac:dyDescent="0.25">
      <c r="A151" t="s">
        <v>221</v>
      </c>
      <c r="B151" t="s">
        <v>75</v>
      </c>
      <c r="C151" t="s">
        <v>41</v>
      </c>
      <c r="D151" t="s">
        <v>42</v>
      </c>
      <c r="E151" t="s">
        <v>34</v>
      </c>
      <c r="F151">
        <v>499</v>
      </c>
      <c r="G151" s="1">
        <v>45444.702777777777</v>
      </c>
      <c r="H151" s="1">
        <v>45444.743055555555</v>
      </c>
      <c r="I151" s="1">
        <v>45445.493055555555</v>
      </c>
      <c r="J151">
        <v>11.5</v>
      </c>
      <c r="K151" t="s">
        <v>53</v>
      </c>
      <c r="L151">
        <v>12</v>
      </c>
    </row>
    <row r="152" spans="1:12" x14ac:dyDescent="0.25">
      <c r="A152" t="s">
        <v>222</v>
      </c>
      <c r="B152" t="s">
        <v>94</v>
      </c>
      <c r="C152" t="s">
        <v>41</v>
      </c>
      <c r="D152" t="s">
        <v>42</v>
      </c>
      <c r="E152" t="s">
        <v>16</v>
      </c>
      <c r="F152">
        <v>199</v>
      </c>
      <c r="G152" s="1">
        <v>45444.728472222225</v>
      </c>
      <c r="H152" s="1">
        <v>45444.790277777778</v>
      </c>
      <c r="I152" s="1">
        <v>45445.081944444442</v>
      </c>
      <c r="J152">
        <v>23.07</v>
      </c>
      <c r="K152" t="s">
        <v>23</v>
      </c>
      <c r="L152">
        <v>12</v>
      </c>
    </row>
    <row r="153" spans="1:12" x14ac:dyDescent="0.25">
      <c r="A153" t="s">
        <v>223</v>
      </c>
      <c r="B153" t="s">
        <v>36</v>
      </c>
      <c r="C153" t="s">
        <v>14</v>
      </c>
      <c r="D153" t="s">
        <v>15</v>
      </c>
      <c r="E153" t="s">
        <v>26</v>
      </c>
      <c r="F153">
        <v>499</v>
      </c>
      <c r="G153" s="1">
        <v>45444.540277777778</v>
      </c>
      <c r="H153" s="1">
        <v>45444.571527777778</v>
      </c>
      <c r="I153" s="1">
        <v>45444.863194444442</v>
      </c>
      <c r="J153">
        <v>22.99</v>
      </c>
      <c r="K153" t="s">
        <v>53</v>
      </c>
      <c r="L153">
        <v>12</v>
      </c>
    </row>
    <row r="154" spans="1:12" x14ac:dyDescent="0.25">
      <c r="A154" t="s">
        <v>224</v>
      </c>
      <c r="B154" t="s">
        <v>88</v>
      </c>
      <c r="C154" t="s">
        <v>14</v>
      </c>
      <c r="D154" t="s">
        <v>15</v>
      </c>
      <c r="E154" t="s">
        <v>22</v>
      </c>
      <c r="F154">
        <v>1299</v>
      </c>
      <c r="G154" s="1">
        <v>45444.441666666666</v>
      </c>
      <c r="H154" s="1">
        <v>45444.479861111111</v>
      </c>
      <c r="I154" s="1">
        <v>45444.896527777775</v>
      </c>
      <c r="J154">
        <v>23.88</v>
      </c>
      <c r="K154" t="s">
        <v>23</v>
      </c>
      <c r="L154">
        <v>12</v>
      </c>
    </row>
    <row r="155" spans="1:12" x14ac:dyDescent="0.25">
      <c r="A155" t="s">
        <v>225</v>
      </c>
      <c r="B155" t="s">
        <v>36</v>
      </c>
      <c r="C155" t="s">
        <v>41</v>
      </c>
      <c r="D155" t="s">
        <v>42</v>
      </c>
      <c r="E155" t="s">
        <v>26</v>
      </c>
      <c r="F155">
        <v>399</v>
      </c>
      <c r="G155" s="1">
        <v>45444.70416666667</v>
      </c>
      <c r="H155" s="1">
        <v>45444.731944444444</v>
      </c>
      <c r="I155" s="1">
        <v>45445.523611111108</v>
      </c>
      <c r="J155">
        <v>22.56</v>
      </c>
      <c r="K155" t="s">
        <v>23</v>
      </c>
      <c r="L155">
        <v>12</v>
      </c>
    </row>
    <row r="156" spans="1:12" x14ac:dyDescent="0.25">
      <c r="A156" t="s">
        <v>226</v>
      </c>
      <c r="B156" t="s">
        <v>156</v>
      </c>
      <c r="C156" t="s">
        <v>41</v>
      </c>
      <c r="D156" t="s">
        <v>42</v>
      </c>
      <c r="E156" t="s">
        <v>16</v>
      </c>
      <c r="F156">
        <v>199</v>
      </c>
      <c r="G156" s="1">
        <v>45444.672222222223</v>
      </c>
      <c r="H156" s="1">
        <v>45444.701388888891</v>
      </c>
      <c r="I156" s="1">
        <v>45444.951388888891</v>
      </c>
      <c r="J156">
        <v>21.89</v>
      </c>
      <c r="K156" t="s">
        <v>30</v>
      </c>
      <c r="L156">
        <v>12</v>
      </c>
    </row>
    <row r="157" spans="1:12" x14ac:dyDescent="0.25">
      <c r="A157" t="s">
        <v>227</v>
      </c>
      <c r="B157" t="s">
        <v>127</v>
      </c>
      <c r="C157" t="s">
        <v>14</v>
      </c>
      <c r="D157" t="s">
        <v>15</v>
      </c>
      <c r="E157" t="s">
        <v>68</v>
      </c>
      <c r="F157">
        <v>499</v>
      </c>
      <c r="G157" s="1">
        <v>45444.738888888889</v>
      </c>
      <c r="H157" s="1">
        <v>45444.781944444447</v>
      </c>
      <c r="I157" s="1">
        <v>45445.073611111111</v>
      </c>
      <c r="J157">
        <v>13.25</v>
      </c>
      <c r="K157" t="s">
        <v>23</v>
      </c>
      <c r="L157">
        <v>12</v>
      </c>
    </row>
    <row r="158" spans="1:12" x14ac:dyDescent="0.25">
      <c r="A158" t="s">
        <v>228</v>
      </c>
      <c r="B158" t="s">
        <v>78</v>
      </c>
      <c r="C158" t="s">
        <v>41</v>
      </c>
      <c r="D158" t="s">
        <v>42</v>
      </c>
      <c r="E158" t="s">
        <v>29</v>
      </c>
      <c r="F158">
        <v>1299</v>
      </c>
      <c r="G158" s="1">
        <v>45444.765277777777</v>
      </c>
      <c r="H158" s="1">
        <v>45444.836111111108</v>
      </c>
      <c r="I158" s="1">
        <v>45445.25277777778</v>
      </c>
      <c r="J158">
        <v>18.899999999999999</v>
      </c>
      <c r="K158" t="s">
        <v>23</v>
      </c>
      <c r="L158">
        <v>12</v>
      </c>
    </row>
    <row r="159" spans="1:12" x14ac:dyDescent="0.25">
      <c r="A159" t="s">
        <v>229</v>
      </c>
      <c r="B159" t="s">
        <v>127</v>
      </c>
      <c r="C159" t="s">
        <v>45</v>
      </c>
      <c r="D159" t="s">
        <v>46</v>
      </c>
      <c r="E159" t="s">
        <v>68</v>
      </c>
      <c r="F159">
        <v>699</v>
      </c>
      <c r="G159" s="1">
        <v>45444.73541666667</v>
      </c>
      <c r="H159" s="1">
        <v>45444.755555555559</v>
      </c>
      <c r="I159" s="1">
        <v>45444.963888888888</v>
      </c>
      <c r="J159">
        <v>11.44</v>
      </c>
      <c r="K159" t="s">
        <v>53</v>
      </c>
      <c r="L159">
        <v>12</v>
      </c>
    </row>
    <row r="160" spans="1:12" x14ac:dyDescent="0.25">
      <c r="A160" t="s">
        <v>230</v>
      </c>
      <c r="B160" t="s">
        <v>132</v>
      </c>
      <c r="C160" t="s">
        <v>45</v>
      </c>
      <c r="D160" t="s">
        <v>46</v>
      </c>
      <c r="E160" t="s">
        <v>34</v>
      </c>
      <c r="F160">
        <v>199</v>
      </c>
      <c r="G160" s="1">
        <v>45444.440972222219</v>
      </c>
      <c r="H160" s="1">
        <v>45444.457638888889</v>
      </c>
      <c r="I160" s="1">
        <v>45445.124305555553</v>
      </c>
      <c r="J160">
        <v>22.87</v>
      </c>
      <c r="K160" t="s">
        <v>30</v>
      </c>
      <c r="L160">
        <v>12</v>
      </c>
    </row>
    <row r="161" spans="1:12" x14ac:dyDescent="0.25">
      <c r="A161" t="s">
        <v>231</v>
      </c>
      <c r="B161" t="s">
        <v>70</v>
      </c>
      <c r="C161" t="s">
        <v>20</v>
      </c>
      <c r="D161" t="s">
        <v>21</v>
      </c>
      <c r="E161" t="s">
        <v>22</v>
      </c>
      <c r="F161">
        <v>299</v>
      </c>
      <c r="G161" s="1">
        <v>45444.697222222225</v>
      </c>
      <c r="H161" s="1">
        <v>45444.713194444441</v>
      </c>
      <c r="I161" s="1">
        <v>45444.963194444441</v>
      </c>
      <c r="J161">
        <v>15.64</v>
      </c>
      <c r="K161" t="s">
        <v>30</v>
      </c>
      <c r="L161">
        <v>12</v>
      </c>
    </row>
    <row r="162" spans="1:12" x14ac:dyDescent="0.25">
      <c r="A162" t="s">
        <v>232</v>
      </c>
      <c r="B162" t="s">
        <v>62</v>
      </c>
      <c r="C162" t="s">
        <v>20</v>
      </c>
      <c r="D162" t="s">
        <v>21</v>
      </c>
      <c r="E162" t="s">
        <v>29</v>
      </c>
      <c r="F162">
        <v>399</v>
      </c>
      <c r="G162" s="1">
        <v>45444.786805555559</v>
      </c>
      <c r="H162" s="1">
        <v>45444.861111111109</v>
      </c>
      <c r="I162" s="1">
        <v>45445.444444444445</v>
      </c>
      <c r="J162">
        <v>16.010000000000002</v>
      </c>
      <c r="K162" t="s">
        <v>30</v>
      </c>
      <c r="L162">
        <v>12</v>
      </c>
    </row>
    <row r="163" spans="1:12" x14ac:dyDescent="0.25">
      <c r="A163" t="s">
        <v>233</v>
      </c>
      <c r="B163" t="s">
        <v>96</v>
      </c>
      <c r="C163" t="s">
        <v>41</v>
      </c>
      <c r="D163" t="s">
        <v>42</v>
      </c>
      <c r="E163" t="s">
        <v>68</v>
      </c>
      <c r="F163">
        <v>199</v>
      </c>
      <c r="G163" s="1">
        <v>45444.412499999999</v>
      </c>
      <c r="H163" s="1">
        <v>45444.439583333333</v>
      </c>
      <c r="I163" s="1">
        <v>45444.897916666669</v>
      </c>
      <c r="J163">
        <v>7.77</v>
      </c>
      <c r="K163" t="s">
        <v>30</v>
      </c>
      <c r="L163">
        <v>12</v>
      </c>
    </row>
    <row r="164" spans="1:12" x14ac:dyDescent="0.25">
      <c r="A164" t="s">
        <v>234</v>
      </c>
      <c r="B164" t="s">
        <v>122</v>
      </c>
      <c r="C164" t="s">
        <v>45</v>
      </c>
      <c r="D164" t="s">
        <v>46</v>
      </c>
      <c r="E164" t="s">
        <v>68</v>
      </c>
      <c r="F164">
        <v>499</v>
      </c>
      <c r="G164" s="1">
        <v>45444.790972222225</v>
      </c>
      <c r="H164" s="1">
        <v>45444.815972222219</v>
      </c>
      <c r="I164" s="1">
        <v>45445.024305555555</v>
      </c>
      <c r="J164">
        <v>13.99</v>
      </c>
      <c r="K164" t="s">
        <v>30</v>
      </c>
      <c r="L164">
        <v>12</v>
      </c>
    </row>
    <row r="165" spans="1:12" x14ac:dyDescent="0.25">
      <c r="A165" t="s">
        <v>235</v>
      </c>
      <c r="B165" t="s">
        <v>70</v>
      </c>
      <c r="C165" t="s">
        <v>45</v>
      </c>
      <c r="D165" t="s">
        <v>46</v>
      </c>
      <c r="E165" t="s">
        <v>26</v>
      </c>
      <c r="F165">
        <v>499</v>
      </c>
      <c r="G165" s="1">
        <v>45444.392361111109</v>
      </c>
      <c r="H165" s="1">
        <v>45444.413888888892</v>
      </c>
      <c r="I165" s="1">
        <v>45445.080555555556</v>
      </c>
      <c r="J165">
        <v>21.41</v>
      </c>
      <c r="K165" t="s">
        <v>17</v>
      </c>
      <c r="L165">
        <v>12</v>
      </c>
    </row>
    <row r="166" spans="1:12" x14ac:dyDescent="0.25">
      <c r="A166" t="s">
        <v>236</v>
      </c>
      <c r="B166" t="s">
        <v>19</v>
      </c>
      <c r="C166" t="s">
        <v>20</v>
      </c>
      <c r="D166" t="s">
        <v>21</v>
      </c>
      <c r="E166" t="s">
        <v>26</v>
      </c>
      <c r="F166">
        <v>2499</v>
      </c>
      <c r="G166" s="1">
        <v>45444.622916666667</v>
      </c>
      <c r="H166" s="1">
        <v>45444.663194444445</v>
      </c>
      <c r="I166" s="1">
        <v>45444.829861111109</v>
      </c>
      <c r="J166">
        <v>17.21</v>
      </c>
      <c r="K166" t="s">
        <v>23</v>
      </c>
      <c r="L166">
        <v>12</v>
      </c>
    </row>
    <row r="167" spans="1:12" x14ac:dyDescent="0.25">
      <c r="A167" t="s">
        <v>237</v>
      </c>
      <c r="B167" t="s">
        <v>36</v>
      </c>
      <c r="C167" t="s">
        <v>37</v>
      </c>
      <c r="D167" t="s">
        <v>38</v>
      </c>
      <c r="E167" t="s">
        <v>26</v>
      </c>
      <c r="F167">
        <v>1999</v>
      </c>
      <c r="G167" s="1">
        <v>45444.682638888888</v>
      </c>
      <c r="H167" s="1">
        <v>45444.716666666667</v>
      </c>
      <c r="I167" s="1">
        <v>45445.175000000003</v>
      </c>
      <c r="J167">
        <v>11.08</v>
      </c>
      <c r="K167" t="s">
        <v>30</v>
      </c>
      <c r="L167">
        <v>12</v>
      </c>
    </row>
    <row r="168" spans="1:12" x14ac:dyDescent="0.25">
      <c r="A168" t="s">
        <v>238</v>
      </c>
      <c r="B168" t="s">
        <v>36</v>
      </c>
      <c r="C168" t="s">
        <v>41</v>
      </c>
      <c r="D168" t="s">
        <v>42</v>
      </c>
      <c r="E168" t="s">
        <v>26</v>
      </c>
      <c r="F168">
        <v>699</v>
      </c>
      <c r="G168" s="1">
        <v>45444.563888888886</v>
      </c>
      <c r="H168" s="1">
        <v>45444.628472222219</v>
      </c>
      <c r="I168" s="1">
        <v>45445.045138888891</v>
      </c>
      <c r="J168">
        <v>10.06</v>
      </c>
      <c r="K168" t="s">
        <v>30</v>
      </c>
      <c r="L168">
        <v>12</v>
      </c>
    </row>
    <row r="169" spans="1:12" x14ac:dyDescent="0.25">
      <c r="A169" t="s">
        <v>239</v>
      </c>
      <c r="B169" t="s">
        <v>158</v>
      </c>
      <c r="C169" t="s">
        <v>41</v>
      </c>
      <c r="D169" t="s">
        <v>42</v>
      </c>
      <c r="E169" t="s">
        <v>68</v>
      </c>
      <c r="F169">
        <v>1499</v>
      </c>
      <c r="G169" s="1">
        <v>45444.598611111112</v>
      </c>
      <c r="H169" s="1">
        <v>45444.654861111114</v>
      </c>
      <c r="I169" s="1">
        <v>45444.946527777778</v>
      </c>
      <c r="J169">
        <v>13.96</v>
      </c>
      <c r="K169" t="s">
        <v>17</v>
      </c>
      <c r="L169">
        <v>12</v>
      </c>
    </row>
    <row r="170" spans="1:12" x14ac:dyDescent="0.25">
      <c r="A170" t="s">
        <v>240</v>
      </c>
      <c r="B170" t="s">
        <v>44</v>
      </c>
      <c r="C170" t="s">
        <v>14</v>
      </c>
      <c r="D170" t="s">
        <v>15</v>
      </c>
      <c r="E170" t="s">
        <v>34</v>
      </c>
      <c r="F170">
        <v>1499</v>
      </c>
      <c r="G170" s="1">
        <v>45444.690972222219</v>
      </c>
      <c r="H170" s="1">
        <v>45444.731249999997</v>
      </c>
      <c r="I170" s="1">
        <v>45445.189583333333</v>
      </c>
      <c r="J170">
        <v>21.59</v>
      </c>
      <c r="K170" t="s">
        <v>53</v>
      </c>
      <c r="L170">
        <v>12</v>
      </c>
    </row>
    <row r="171" spans="1:12" x14ac:dyDescent="0.25">
      <c r="A171" t="s">
        <v>241</v>
      </c>
      <c r="B171" t="s">
        <v>36</v>
      </c>
      <c r="C171" t="s">
        <v>45</v>
      </c>
      <c r="D171" t="s">
        <v>46</v>
      </c>
      <c r="E171" t="s">
        <v>34</v>
      </c>
      <c r="F171">
        <v>299</v>
      </c>
      <c r="G171" s="1">
        <v>45444.515972222223</v>
      </c>
      <c r="H171" s="1">
        <v>45444.590277777781</v>
      </c>
      <c r="I171" s="1">
        <v>45445.006944444445</v>
      </c>
      <c r="J171">
        <v>16.260000000000002</v>
      </c>
      <c r="K171" t="s">
        <v>53</v>
      </c>
      <c r="L171">
        <v>12</v>
      </c>
    </row>
    <row r="172" spans="1:12" x14ac:dyDescent="0.25">
      <c r="A172" t="s">
        <v>242</v>
      </c>
      <c r="B172" t="s">
        <v>57</v>
      </c>
      <c r="C172" t="s">
        <v>45</v>
      </c>
      <c r="D172" t="s">
        <v>46</v>
      </c>
      <c r="E172" t="s">
        <v>26</v>
      </c>
      <c r="F172">
        <v>1999</v>
      </c>
      <c r="G172" s="1">
        <v>45444.570833333331</v>
      </c>
      <c r="H172" s="1">
        <v>45444.634722222225</v>
      </c>
      <c r="I172" s="1">
        <v>45444.884722222225</v>
      </c>
      <c r="J172">
        <v>22.76</v>
      </c>
      <c r="K172" t="s">
        <v>17</v>
      </c>
      <c r="L172">
        <v>12</v>
      </c>
    </row>
    <row r="173" spans="1:12" x14ac:dyDescent="0.25">
      <c r="A173" t="s">
        <v>243</v>
      </c>
      <c r="B173" t="s">
        <v>84</v>
      </c>
      <c r="C173" t="s">
        <v>20</v>
      </c>
      <c r="D173" t="s">
        <v>21</v>
      </c>
      <c r="E173" t="s">
        <v>16</v>
      </c>
      <c r="F173">
        <v>399</v>
      </c>
      <c r="G173" s="1">
        <v>45444.604166666664</v>
      </c>
      <c r="H173" s="1">
        <v>45444.631944444445</v>
      </c>
      <c r="I173" s="1">
        <v>45445.090277777781</v>
      </c>
      <c r="J173">
        <v>11.06</v>
      </c>
      <c r="K173" t="s">
        <v>17</v>
      </c>
      <c r="L173">
        <v>12</v>
      </c>
    </row>
    <row r="174" spans="1:12" x14ac:dyDescent="0.25">
      <c r="A174" t="s">
        <v>244</v>
      </c>
      <c r="B174" t="s">
        <v>66</v>
      </c>
      <c r="C174" t="s">
        <v>37</v>
      </c>
      <c r="D174" t="s">
        <v>38</v>
      </c>
      <c r="E174" t="s">
        <v>16</v>
      </c>
      <c r="F174">
        <v>199</v>
      </c>
      <c r="G174" s="1">
        <v>45444.427777777775</v>
      </c>
      <c r="H174" s="1">
        <v>45444.479861111111</v>
      </c>
      <c r="I174" s="1">
        <v>45445.271527777775</v>
      </c>
      <c r="J174">
        <v>14.19</v>
      </c>
      <c r="K174" t="s">
        <v>53</v>
      </c>
      <c r="L174">
        <v>12</v>
      </c>
    </row>
    <row r="175" spans="1:12" x14ac:dyDescent="0.25">
      <c r="A175" t="s">
        <v>245</v>
      </c>
      <c r="B175" t="s">
        <v>94</v>
      </c>
      <c r="C175" t="s">
        <v>14</v>
      </c>
      <c r="D175" t="s">
        <v>15</v>
      </c>
      <c r="E175" t="s">
        <v>29</v>
      </c>
      <c r="F175">
        <v>699</v>
      </c>
      <c r="G175" s="1">
        <v>45444.618055555555</v>
      </c>
      <c r="H175" s="1">
        <v>45444.65625</v>
      </c>
      <c r="I175" s="1">
        <v>45445.114583333336</v>
      </c>
      <c r="J175">
        <v>15.1</v>
      </c>
      <c r="K175" t="s">
        <v>30</v>
      </c>
      <c r="L175">
        <v>12</v>
      </c>
    </row>
    <row r="176" spans="1:12" x14ac:dyDescent="0.25">
      <c r="A176" t="s">
        <v>246</v>
      </c>
      <c r="B176" t="s">
        <v>88</v>
      </c>
      <c r="C176" t="s">
        <v>14</v>
      </c>
      <c r="D176" t="s">
        <v>15</v>
      </c>
      <c r="E176" t="s">
        <v>34</v>
      </c>
      <c r="F176">
        <v>1499</v>
      </c>
      <c r="G176" s="1">
        <v>45444.502083333333</v>
      </c>
      <c r="H176" s="1">
        <v>45444.540277777778</v>
      </c>
      <c r="I176" s="1">
        <v>45445.248611111114</v>
      </c>
      <c r="J176">
        <v>20.079999999999998</v>
      </c>
      <c r="K176" t="s">
        <v>23</v>
      </c>
      <c r="L176">
        <v>12</v>
      </c>
    </row>
    <row r="177" spans="1:12" x14ac:dyDescent="0.25">
      <c r="A177" t="s">
        <v>247</v>
      </c>
      <c r="B177" t="s">
        <v>141</v>
      </c>
      <c r="C177" t="s">
        <v>41</v>
      </c>
      <c r="D177" t="s">
        <v>42</v>
      </c>
      <c r="E177" t="s">
        <v>68</v>
      </c>
      <c r="F177">
        <v>199</v>
      </c>
      <c r="G177" s="1">
        <v>45444.786805555559</v>
      </c>
      <c r="H177" s="1">
        <v>45444.822222222225</v>
      </c>
      <c r="I177" s="1">
        <v>45445.363888888889</v>
      </c>
      <c r="J177">
        <v>24.16</v>
      </c>
      <c r="K177" t="s">
        <v>53</v>
      </c>
      <c r="L177">
        <v>12</v>
      </c>
    </row>
    <row r="178" spans="1:12" x14ac:dyDescent="0.25">
      <c r="A178" t="s">
        <v>248</v>
      </c>
      <c r="B178" t="s">
        <v>215</v>
      </c>
      <c r="C178" t="s">
        <v>37</v>
      </c>
      <c r="D178" t="s">
        <v>38</v>
      </c>
      <c r="E178" t="s">
        <v>22</v>
      </c>
      <c r="F178">
        <v>1499</v>
      </c>
      <c r="G178" s="1">
        <v>45444.404861111114</v>
      </c>
      <c r="H178" s="1">
        <v>45444.443055555559</v>
      </c>
      <c r="I178" s="1">
        <v>45445.193055555559</v>
      </c>
      <c r="J178">
        <v>22.87</v>
      </c>
      <c r="K178" t="s">
        <v>30</v>
      </c>
      <c r="L178">
        <v>12</v>
      </c>
    </row>
    <row r="179" spans="1:12" x14ac:dyDescent="0.25">
      <c r="A179" t="s">
        <v>249</v>
      </c>
      <c r="B179" t="s">
        <v>107</v>
      </c>
      <c r="C179" t="s">
        <v>45</v>
      </c>
      <c r="D179" t="s">
        <v>46</v>
      </c>
      <c r="E179" t="s">
        <v>68</v>
      </c>
      <c r="F179">
        <v>2499</v>
      </c>
      <c r="G179" s="1">
        <v>45444.679166666669</v>
      </c>
      <c r="H179" s="1">
        <v>45444.748611111114</v>
      </c>
      <c r="I179" s="1">
        <v>45445.165277777778</v>
      </c>
      <c r="J179">
        <v>18.420000000000002</v>
      </c>
      <c r="K179" t="s">
        <v>23</v>
      </c>
      <c r="L179">
        <v>12</v>
      </c>
    </row>
    <row r="180" spans="1:12" x14ac:dyDescent="0.25">
      <c r="A180" t="s">
        <v>250</v>
      </c>
      <c r="B180" t="s">
        <v>175</v>
      </c>
      <c r="C180" t="s">
        <v>45</v>
      </c>
      <c r="D180" t="s">
        <v>46</v>
      </c>
      <c r="E180" t="s">
        <v>68</v>
      </c>
      <c r="F180">
        <v>1499</v>
      </c>
      <c r="G180" s="1">
        <v>45444.47152777778</v>
      </c>
      <c r="H180" s="1">
        <v>45444.492361111108</v>
      </c>
      <c r="I180" s="1">
        <v>45444.78402777778</v>
      </c>
      <c r="J180">
        <v>22.73</v>
      </c>
      <c r="K180" t="s">
        <v>30</v>
      </c>
      <c r="L180">
        <v>12</v>
      </c>
    </row>
    <row r="181" spans="1:12" x14ac:dyDescent="0.25">
      <c r="A181" t="s">
        <v>251</v>
      </c>
      <c r="B181" t="s">
        <v>62</v>
      </c>
      <c r="C181" t="s">
        <v>37</v>
      </c>
      <c r="D181" t="s">
        <v>38</v>
      </c>
      <c r="E181" t="s">
        <v>22</v>
      </c>
      <c r="F181">
        <v>699</v>
      </c>
      <c r="G181" s="1">
        <v>45444.425000000003</v>
      </c>
      <c r="H181" s="1">
        <v>45444.479166666664</v>
      </c>
      <c r="I181" s="1">
        <v>45444.854166666664</v>
      </c>
      <c r="J181">
        <v>23.55</v>
      </c>
      <c r="K181" t="s">
        <v>53</v>
      </c>
      <c r="L181">
        <v>12</v>
      </c>
    </row>
    <row r="182" spans="1:12" x14ac:dyDescent="0.25">
      <c r="A182" t="s">
        <v>252</v>
      </c>
      <c r="B182" t="s">
        <v>57</v>
      </c>
      <c r="C182" t="s">
        <v>41</v>
      </c>
      <c r="D182" t="s">
        <v>42</v>
      </c>
      <c r="E182" t="s">
        <v>16</v>
      </c>
      <c r="F182">
        <v>499</v>
      </c>
      <c r="G182" s="1">
        <v>45444.388194444444</v>
      </c>
      <c r="H182" s="1">
        <v>45444.452777777777</v>
      </c>
      <c r="I182" s="1">
        <v>45445.077777777777</v>
      </c>
      <c r="J182">
        <v>9.6199999999999992</v>
      </c>
      <c r="K182" t="s">
        <v>53</v>
      </c>
      <c r="L182">
        <v>12</v>
      </c>
    </row>
    <row r="183" spans="1:12" x14ac:dyDescent="0.25">
      <c r="A183" t="s">
        <v>253</v>
      </c>
      <c r="B183" t="s">
        <v>104</v>
      </c>
      <c r="C183" t="s">
        <v>20</v>
      </c>
      <c r="D183" t="s">
        <v>21</v>
      </c>
      <c r="E183" t="s">
        <v>26</v>
      </c>
      <c r="F183">
        <v>2499</v>
      </c>
      <c r="G183" s="1">
        <v>45444.470833333333</v>
      </c>
      <c r="H183" s="1">
        <v>45444.550694444442</v>
      </c>
      <c r="I183" s="1">
        <v>45444.759027777778</v>
      </c>
      <c r="J183">
        <v>8.2899999999999991</v>
      </c>
      <c r="K183" t="s">
        <v>53</v>
      </c>
      <c r="L183">
        <v>12</v>
      </c>
    </row>
    <row r="184" spans="1:12" x14ac:dyDescent="0.25">
      <c r="A184" t="s">
        <v>254</v>
      </c>
      <c r="B184" t="s">
        <v>180</v>
      </c>
      <c r="C184" t="s">
        <v>14</v>
      </c>
      <c r="D184" t="s">
        <v>15</v>
      </c>
      <c r="E184" t="s">
        <v>26</v>
      </c>
      <c r="F184">
        <v>199</v>
      </c>
      <c r="G184" s="1">
        <v>45444.38958333333</v>
      </c>
      <c r="H184" s="1">
        <v>45444.443055555559</v>
      </c>
      <c r="I184" s="1">
        <v>45445.068055555559</v>
      </c>
      <c r="J184">
        <v>12.09</v>
      </c>
      <c r="K184" t="s">
        <v>17</v>
      </c>
      <c r="L184">
        <v>12</v>
      </c>
    </row>
    <row r="185" spans="1:12" x14ac:dyDescent="0.25">
      <c r="A185" t="s">
        <v>255</v>
      </c>
      <c r="B185" t="s">
        <v>154</v>
      </c>
      <c r="C185" t="s">
        <v>20</v>
      </c>
      <c r="D185" t="s">
        <v>21</v>
      </c>
      <c r="E185" t="s">
        <v>16</v>
      </c>
      <c r="F185">
        <v>499</v>
      </c>
      <c r="G185" s="1">
        <v>45444.711111111108</v>
      </c>
      <c r="H185" s="1">
        <v>45444.761805555558</v>
      </c>
      <c r="I185" s="1">
        <v>45445.220138888886</v>
      </c>
      <c r="J185">
        <v>8.23</v>
      </c>
      <c r="K185" t="s">
        <v>53</v>
      </c>
      <c r="L185">
        <v>12</v>
      </c>
    </row>
    <row r="186" spans="1:12" x14ac:dyDescent="0.25">
      <c r="A186" t="s">
        <v>256</v>
      </c>
      <c r="B186" t="s">
        <v>114</v>
      </c>
      <c r="C186" t="s">
        <v>45</v>
      </c>
      <c r="D186" t="s">
        <v>46</v>
      </c>
      <c r="E186" t="s">
        <v>22</v>
      </c>
      <c r="F186">
        <v>1299</v>
      </c>
      <c r="G186" s="1">
        <v>45444.711111111108</v>
      </c>
      <c r="H186" s="1">
        <v>45444.790972222225</v>
      </c>
      <c r="I186" s="1">
        <v>45445.540972222225</v>
      </c>
      <c r="J186">
        <v>17.96</v>
      </c>
      <c r="K186" t="s">
        <v>30</v>
      </c>
      <c r="L186">
        <v>12</v>
      </c>
    </row>
    <row r="187" spans="1:12" x14ac:dyDescent="0.25">
      <c r="A187" t="s">
        <v>257</v>
      </c>
      <c r="B187" t="s">
        <v>122</v>
      </c>
      <c r="C187" t="s">
        <v>20</v>
      </c>
      <c r="D187" t="s">
        <v>21</v>
      </c>
      <c r="E187" t="s">
        <v>26</v>
      </c>
      <c r="F187">
        <v>499</v>
      </c>
      <c r="G187" s="1">
        <v>45444.615277777775</v>
      </c>
      <c r="H187" s="1">
        <v>45444.688888888886</v>
      </c>
      <c r="I187" s="1">
        <v>45445.230555555558</v>
      </c>
      <c r="J187">
        <v>16.940000000000001</v>
      </c>
      <c r="K187" t="s">
        <v>30</v>
      </c>
      <c r="L187">
        <v>12</v>
      </c>
    </row>
    <row r="188" spans="1:12" x14ac:dyDescent="0.25">
      <c r="A188" t="s">
        <v>258</v>
      </c>
      <c r="B188" t="s">
        <v>28</v>
      </c>
      <c r="C188" t="s">
        <v>14</v>
      </c>
      <c r="D188" t="s">
        <v>15</v>
      </c>
      <c r="E188" t="s">
        <v>22</v>
      </c>
      <c r="F188">
        <v>1299</v>
      </c>
      <c r="G188" s="1">
        <v>45444.765277777777</v>
      </c>
      <c r="H188" s="1">
        <v>45444.795138888891</v>
      </c>
      <c r="I188" s="1">
        <v>45445.295138888891</v>
      </c>
      <c r="J188">
        <v>5</v>
      </c>
      <c r="K188" t="s">
        <v>30</v>
      </c>
      <c r="L188">
        <v>12</v>
      </c>
    </row>
    <row r="189" spans="1:12" x14ac:dyDescent="0.25">
      <c r="A189" t="s">
        <v>259</v>
      </c>
      <c r="B189" t="s">
        <v>70</v>
      </c>
      <c r="C189" t="s">
        <v>37</v>
      </c>
      <c r="D189" t="s">
        <v>38</v>
      </c>
      <c r="E189" t="s">
        <v>22</v>
      </c>
      <c r="F189">
        <v>699</v>
      </c>
      <c r="G189" s="1">
        <v>45444.736805555556</v>
      </c>
      <c r="H189" s="1">
        <v>45444.756249999999</v>
      </c>
      <c r="I189" s="1">
        <v>45445.506249999999</v>
      </c>
      <c r="J189">
        <v>12.03</v>
      </c>
      <c r="K189" t="s">
        <v>23</v>
      </c>
      <c r="L189">
        <v>12</v>
      </c>
    </row>
    <row r="190" spans="1:12" x14ac:dyDescent="0.25">
      <c r="A190" t="s">
        <v>260</v>
      </c>
      <c r="B190" t="s">
        <v>104</v>
      </c>
      <c r="C190" t="s">
        <v>14</v>
      </c>
      <c r="D190" t="s">
        <v>15</v>
      </c>
      <c r="E190" t="s">
        <v>34</v>
      </c>
      <c r="F190">
        <v>1499</v>
      </c>
      <c r="G190" s="1">
        <v>45444.488194444442</v>
      </c>
      <c r="H190" s="1">
        <v>45444.565972222219</v>
      </c>
      <c r="I190" s="1">
        <v>45444.774305555555</v>
      </c>
      <c r="J190">
        <v>8.82</v>
      </c>
      <c r="K190" t="s">
        <v>17</v>
      </c>
      <c r="L190">
        <v>12</v>
      </c>
    </row>
    <row r="191" spans="1:12" x14ac:dyDescent="0.25">
      <c r="A191" t="s">
        <v>261</v>
      </c>
      <c r="B191" t="s">
        <v>72</v>
      </c>
      <c r="C191" t="s">
        <v>37</v>
      </c>
      <c r="D191" t="s">
        <v>38</v>
      </c>
      <c r="E191" t="s">
        <v>34</v>
      </c>
      <c r="F191">
        <v>1499</v>
      </c>
      <c r="G191" s="1">
        <v>45444.510416666664</v>
      </c>
      <c r="H191" s="1">
        <v>45444.572916666664</v>
      </c>
      <c r="I191" s="1">
        <v>45444.989583333336</v>
      </c>
      <c r="J191">
        <v>23.19</v>
      </c>
      <c r="K191" t="s">
        <v>30</v>
      </c>
      <c r="L191">
        <v>12</v>
      </c>
    </row>
    <row r="192" spans="1:12" x14ac:dyDescent="0.25">
      <c r="A192" t="s">
        <v>262</v>
      </c>
      <c r="B192" t="s">
        <v>154</v>
      </c>
      <c r="C192" t="s">
        <v>14</v>
      </c>
      <c r="D192" t="s">
        <v>15</v>
      </c>
      <c r="E192" t="s">
        <v>29</v>
      </c>
      <c r="F192">
        <v>1999</v>
      </c>
      <c r="G192" s="1">
        <v>45444.625694444447</v>
      </c>
      <c r="H192" s="1">
        <v>45444.673611111109</v>
      </c>
      <c r="I192" s="1">
        <v>45445.423611111109</v>
      </c>
      <c r="J192">
        <v>16.09</v>
      </c>
      <c r="K192" t="s">
        <v>23</v>
      </c>
      <c r="L192">
        <v>12</v>
      </c>
    </row>
    <row r="193" spans="1:12" x14ac:dyDescent="0.25">
      <c r="A193" t="s">
        <v>263</v>
      </c>
      <c r="B193" t="s">
        <v>104</v>
      </c>
      <c r="C193" t="s">
        <v>14</v>
      </c>
      <c r="D193" t="s">
        <v>15</v>
      </c>
      <c r="E193" t="s">
        <v>29</v>
      </c>
      <c r="F193">
        <v>2499</v>
      </c>
      <c r="G193" s="1">
        <v>45444.388888888891</v>
      </c>
      <c r="H193" s="1">
        <v>45444.440972222219</v>
      </c>
      <c r="I193" s="1">
        <v>45444.774305555555</v>
      </c>
      <c r="J193">
        <v>11.93</v>
      </c>
      <c r="K193" t="s">
        <v>53</v>
      </c>
      <c r="L193">
        <v>12</v>
      </c>
    </row>
    <row r="194" spans="1:12" x14ac:dyDescent="0.25">
      <c r="A194" t="s">
        <v>264</v>
      </c>
      <c r="B194" t="s">
        <v>40</v>
      </c>
      <c r="C194" t="s">
        <v>20</v>
      </c>
      <c r="D194" t="s">
        <v>21</v>
      </c>
      <c r="E194" t="s">
        <v>68</v>
      </c>
      <c r="F194">
        <v>199</v>
      </c>
      <c r="G194" s="1">
        <v>45444.754166666666</v>
      </c>
      <c r="H194" s="1">
        <v>45444.791666666664</v>
      </c>
      <c r="I194" s="1">
        <v>45445.458333333336</v>
      </c>
      <c r="J194">
        <v>19.350000000000001</v>
      </c>
      <c r="K194" t="s">
        <v>17</v>
      </c>
      <c r="L194">
        <v>12</v>
      </c>
    </row>
    <row r="195" spans="1:12" x14ac:dyDescent="0.25">
      <c r="A195" t="s">
        <v>265</v>
      </c>
      <c r="B195" t="s">
        <v>33</v>
      </c>
      <c r="C195" t="s">
        <v>37</v>
      </c>
      <c r="D195" t="s">
        <v>38</v>
      </c>
      <c r="E195" t="s">
        <v>16</v>
      </c>
      <c r="F195">
        <v>1999</v>
      </c>
      <c r="G195" s="1">
        <v>45444.623611111114</v>
      </c>
      <c r="H195" s="1">
        <v>45444.682638888888</v>
      </c>
      <c r="I195" s="1">
        <v>45445.057638888888</v>
      </c>
      <c r="J195">
        <v>20.53</v>
      </c>
      <c r="K195" t="s">
        <v>53</v>
      </c>
      <c r="L195">
        <v>12</v>
      </c>
    </row>
    <row r="196" spans="1:12" x14ac:dyDescent="0.25">
      <c r="A196" t="s">
        <v>266</v>
      </c>
      <c r="B196" t="s">
        <v>72</v>
      </c>
      <c r="C196" t="s">
        <v>20</v>
      </c>
      <c r="D196" t="s">
        <v>21</v>
      </c>
      <c r="E196" t="s">
        <v>34</v>
      </c>
      <c r="F196">
        <v>699</v>
      </c>
      <c r="G196" s="1">
        <v>45444.395138888889</v>
      </c>
      <c r="H196" s="1">
        <v>45444.463888888888</v>
      </c>
      <c r="I196" s="1">
        <v>45445.255555555559</v>
      </c>
      <c r="J196">
        <v>7.92</v>
      </c>
      <c r="K196" t="s">
        <v>30</v>
      </c>
      <c r="L196">
        <v>12</v>
      </c>
    </row>
    <row r="197" spans="1:12" x14ac:dyDescent="0.25">
      <c r="A197" t="s">
        <v>267</v>
      </c>
      <c r="B197" t="s">
        <v>141</v>
      </c>
      <c r="C197" t="s">
        <v>41</v>
      </c>
      <c r="D197" t="s">
        <v>42</v>
      </c>
      <c r="E197" t="s">
        <v>16</v>
      </c>
      <c r="F197">
        <v>1999</v>
      </c>
      <c r="G197" s="1">
        <v>45444.375694444447</v>
      </c>
      <c r="H197" s="1">
        <v>45444.401388888888</v>
      </c>
      <c r="I197" s="1">
        <v>45445.193055555559</v>
      </c>
      <c r="J197">
        <v>24.26</v>
      </c>
      <c r="K197" t="s">
        <v>30</v>
      </c>
      <c r="L197">
        <v>12</v>
      </c>
    </row>
    <row r="198" spans="1:12" x14ac:dyDescent="0.25">
      <c r="A198" t="s">
        <v>268</v>
      </c>
      <c r="B198" t="s">
        <v>40</v>
      </c>
      <c r="C198" t="s">
        <v>41</v>
      </c>
      <c r="D198" t="s">
        <v>42</v>
      </c>
      <c r="E198" t="s">
        <v>34</v>
      </c>
      <c r="F198">
        <v>399</v>
      </c>
      <c r="G198" s="1">
        <v>45444.679166666669</v>
      </c>
      <c r="H198" s="1">
        <v>45444.696527777778</v>
      </c>
      <c r="I198" s="1">
        <v>45445.404861111114</v>
      </c>
      <c r="J198">
        <v>23.2</v>
      </c>
      <c r="K198" t="s">
        <v>30</v>
      </c>
      <c r="L198">
        <v>12</v>
      </c>
    </row>
    <row r="199" spans="1:12" x14ac:dyDescent="0.25">
      <c r="A199" t="s">
        <v>269</v>
      </c>
      <c r="B199" t="s">
        <v>141</v>
      </c>
      <c r="C199" t="s">
        <v>45</v>
      </c>
      <c r="D199" t="s">
        <v>46</v>
      </c>
      <c r="E199" t="s">
        <v>22</v>
      </c>
      <c r="F199">
        <v>1499</v>
      </c>
      <c r="G199" s="1">
        <v>45444.761805555558</v>
      </c>
      <c r="H199" s="1">
        <v>45444.837500000001</v>
      </c>
      <c r="I199" s="1">
        <v>45445.004166666666</v>
      </c>
      <c r="J199">
        <v>10.77</v>
      </c>
      <c r="K199" t="s">
        <v>23</v>
      </c>
      <c r="L199">
        <v>12</v>
      </c>
    </row>
    <row r="200" spans="1:12" x14ac:dyDescent="0.25">
      <c r="A200" t="s">
        <v>270</v>
      </c>
      <c r="B200" t="s">
        <v>107</v>
      </c>
      <c r="C200" t="s">
        <v>41</v>
      </c>
      <c r="D200" t="s">
        <v>42</v>
      </c>
      <c r="E200" t="s">
        <v>29</v>
      </c>
      <c r="F200">
        <v>899</v>
      </c>
      <c r="G200" s="1">
        <v>45444.545138888891</v>
      </c>
      <c r="H200" s="1">
        <v>45444.611111111109</v>
      </c>
      <c r="I200" s="1">
        <v>45444.902777777781</v>
      </c>
      <c r="J200">
        <v>16.43</v>
      </c>
      <c r="K200" t="s">
        <v>17</v>
      </c>
      <c r="L200">
        <v>12</v>
      </c>
    </row>
    <row r="201" spans="1:12" x14ac:dyDescent="0.25">
      <c r="A201" t="s">
        <v>271</v>
      </c>
      <c r="B201" t="s">
        <v>55</v>
      </c>
      <c r="C201" t="s">
        <v>37</v>
      </c>
      <c r="D201" t="s">
        <v>38</v>
      </c>
      <c r="E201" t="s">
        <v>29</v>
      </c>
      <c r="F201">
        <v>299</v>
      </c>
      <c r="G201" s="1">
        <v>45444.789583333331</v>
      </c>
      <c r="H201" s="1">
        <v>45444.837500000001</v>
      </c>
      <c r="I201" s="1">
        <v>45445.462500000001</v>
      </c>
      <c r="J201">
        <v>14.03</v>
      </c>
      <c r="K201" t="s">
        <v>23</v>
      </c>
      <c r="L20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07C5-CAF8-4F91-8E35-29FD503AE5CE}">
  <dimension ref="A1:Q201"/>
  <sheetViews>
    <sheetView topLeftCell="A2" workbookViewId="0">
      <selection activeCell="D11" sqref="D11"/>
    </sheetView>
  </sheetViews>
  <sheetFormatPr defaultRowHeight="15" x14ac:dyDescent="0.25"/>
  <cols>
    <col min="1" max="1" width="13" customWidth="1"/>
    <col min="2" max="2" width="12.140625" customWidth="1"/>
    <col min="3" max="3" width="10.5703125" bestFit="1" customWidth="1"/>
    <col min="4" max="4" width="13" customWidth="1"/>
    <col min="5" max="5" width="10.7109375" customWidth="1"/>
    <col min="6" max="6" width="13.85546875" customWidth="1"/>
    <col min="7" max="9" width="15.5703125" bestFit="1" customWidth="1"/>
    <col min="10" max="10" width="14.28515625" customWidth="1"/>
    <col min="11" max="11" width="15" customWidth="1"/>
    <col min="12" max="12" width="17.5703125" customWidth="1"/>
    <col min="13" max="13" width="22.140625" customWidth="1"/>
    <col min="14" max="14" width="19.140625" customWidth="1"/>
    <col min="15" max="15" width="19" customWidth="1"/>
    <col min="16" max="16" width="13.28515625" customWidth="1"/>
    <col min="17" max="17" width="12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</row>
    <row r="2" spans="1:1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399</v>
      </c>
      <c r="G2" s="1">
        <v>45444.572916666664</v>
      </c>
      <c r="H2" s="1">
        <v>45444.640277777777</v>
      </c>
      <c r="I2" s="1">
        <v>45445.473611111112</v>
      </c>
      <c r="J2">
        <v>19.28</v>
      </c>
      <c r="K2" t="s">
        <v>17</v>
      </c>
      <c r="L2">
        <v>12</v>
      </c>
      <c r="M2">
        <f>(Analysis[[#This Row],[delivery_time]]-Analysis[[#This Row],[pickup_time]])*24</f>
        <v>20.000000000058208</v>
      </c>
      <c r="N2">
        <f>(Analysis[[#This Row],[delivery_time]]-Analysis[[#This Row],[accept_time]])*24</f>
        <v>21.616666666755918</v>
      </c>
      <c r="O2">
        <f>(Analysis[[#This Row],[pickup_time]]-Analysis[[#This Row],[accept_time]])*24</f>
        <v>1.6166666666977108</v>
      </c>
      <c r="P2" t="str">
        <f>IF(Analysis[[#This Row],[Total_Delivery_Hours]]&gt;Analysis[[#This Row],[sla_delivery_hrs]], "Breach", "OK")</f>
        <v>Breach</v>
      </c>
      <c r="Q2">
        <f>IF(Analysis[[#This Row],[delay_reason]]="None", 0,1)</f>
        <v>1</v>
      </c>
    </row>
    <row r="3" spans="1:17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299</v>
      </c>
      <c r="G3" s="1">
        <v>45444.535416666666</v>
      </c>
      <c r="H3" s="1">
        <v>45444.6</v>
      </c>
      <c r="I3" s="1">
        <v>45445.058333333334</v>
      </c>
      <c r="J3">
        <v>7.66</v>
      </c>
      <c r="K3" t="s">
        <v>23</v>
      </c>
      <c r="L3">
        <v>12</v>
      </c>
      <c r="M3">
        <f>(Analysis[[#This Row],[delivery_time]]-Analysis[[#This Row],[pickup_time]])*24</f>
        <v>11.000000000058208</v>
      </c>
      <c r="N3">
        <f>(Analysis[[#This Row],[delivery_time]]-Analysis[[#This Row],[accept_time]])*24</f>
        <v>12.550000000046566</v>
      </c>
      <c r="O3">
        <f>(Analysis[[#This Row],[pickup_time]]-Analysis[[#This Row],[accept_time]])*24</f>
        <v>1.5499999999883585</v>
      </c>
      <c r="P3" t="str">
        <f>IF(Analysis[[#This Row],[Total_Delivery_Hours]]&gt;Analysis[[#This Row],[sla_delivery_hrs]], "Breach", "OK")</f>
        <v>OK</v>
      </c>
      <c r="Q3">
        <f>IF(Analysis[[#This Row],[delay_reason]]="None", 0,1)</f>
        <v>1</v>
      </c>
    </row>
    <row r="4" spans="1:17" x14ac:dyDescent="0.25">
      <c r="A4" t="s">
        <v>24</v>
      </c>
      <c r="B4" t="s">
        <v>25</v>
      </c>
      <c r="C4" t="s">
        <v>20</v>
      </c>
      <c r="D4" t="s">
        <v>21</v>
      </c>
      <c r="E4" t="s">
        <v>26</v>
      </c>
      <c r="F4">
        <v>399</v>
      </c>
      <c r="G4" s="1">
        <v>45444.783333333333</v>
      </c>
      <c r="H4" s="1">
        <v>45444.859027777777</v>
      </c>
      <c r="I4" s="1">
        <v>45445.442361111112</v>
      </c>
      <c r="J4">
        <v>14.49</v>
      </c>
      <c r="K4" t="s">
        <v>17</v>
      </c>
      <c r="L4">
        <v>12</v>
      </c>
      <c r="M4">
        <f>(Analysis[[#This Row],[delivery_time]]-Analysis[[#This Row],[pickup_time]])*24</f>
        <v>14.000000000058208</v>
      </c>
      <c r="N4">
        <f>(Analysis[[#This Row],[delivery_time]]-Analysis[[#This Row],[accept_time]])*24</f>
        <v>15.816666666709352</v>
      </c>
      <c r="O4">
        <f>(Analysis[[#This Row],[pickup_time]]-Analysis[[#This Row],[accept_time]])*24</f>
        <v>1.8166666666511446</v>
      </c>
      <c r="P4" t="str">
        <f>IF(Analysis[[#This Row],[Total_Delivery_Hours]]&gt;Analysis[[#This Row],[sla_delivery_hrs]], "Breach", "OK")</f>
        <v>Breach</v>
      </c>
      <c r="Q4">
        <f>IF(Analysis[[#This Row],[delay_reason]]="None", 0,1)</f>
        <v>1</v>
      </c>
    </row>
    <row r="5" spans="1:17" x14ac:dyDescent="0.25">
      <c r="A5" t="s">
        <v>27</v>
      </c>
      <c r="B5" t="s">
        <v>28</v>
      </c>
      <c r="C5" t="s">
        <v>14</v>
      </c>
      <c r="D5" t="s">
        <v>15</v>
      </c>
      <c r="E5" t="s">
        <v>29</v>
      </c>
      <c r="F5">
        <v>299</v>
      </c>
      <c r="G5" s="1">
        <v>45444.700694444444</v>
      </c>
      <c r="H5" s="1">
        <v>45444.745138888888</v>
      </c>
      <c r="I5" s="1">
        <v>45445.536805555559</v>
      </c>
      <c r="J5">
        <v>13.45</v>
      </c>
      <c r="K5" t="s">
        <v>30</v>
      </c>
      <c r="L5">
        <v>12</v>
      </c>
      <c r="M5">
        <f>(Analysis[[#This Row],[delivery_time]]-Analysis[[#This Row],[pickup_time]])*24</f>
        <v>19.000000000116415</v>
      </c>
      <c r="N5">
        <f>(Analysis[[#This Row],[delivery_time]]-Analysis[[#This Row],[accept_time]])*24</f>
        <v>20.06666666676756</v>
      </c>
      <c r="O5">
        <f>(Analysis[[#This Row],[pickup_time]]-Analysis[[#This Row],[accept_time]])*24</f>
        <v>1.0666666666511446</v>
      </c>
      <c r="P5" t="str">
        <f>IF(Analysis[[#This Row],[Total_Delivery_Hours]]&gt;Analysis[[#This Row],[sla_delivery_hrs]], "Breach", "OK")</f>
        <v>Breach</v>
      </c>
      <c r="Q5">
        <f>IF(Analysis[[#This Row],[delay_reason]]="None", 0,1)</f>
        <v>1</v>
      </c>
    </row>
    <row r="6" spans="1:17" x14ac:dyDescent="0.25">
      <c r="A6" t="s">
        <v>31</v>
      </c>
      <c r="B6" t="s">
        <v>13</v>
      </c>
      <c r="C6" t="s">
        <v>20</v>
      </c>
      <c r="D6" t="s">
        <v>21</v>
      </c>
      <c r="E6" t="s">
        <v>26</v>
      </c>
      <c r="F6">
        <v>499</v>
      </c>
      <c r="G6" s="1">
        <v>45444.510416666664</v>
      </c>
      <c r="H6" s="1">
        <v>45444.533333333333</v>
      </c>
      <c r="I6" s="1">
        <v>45444.783333333333</v>
      </c>
      <c r="J6">
        <v>9.85</v>
      </c>
      <c r="K6" t="s">
        <v>23</v>
      </c>
      <c r="L6">
        <v>12</v>
      </c>
      <c r="M6">
        <f>(Analysis[[#This Row],[delivery_time]]-Analysis[[#This Row],[pickup_time]])*24</f>
        <v>6</v>
      </c>
      <c r="N6">
        <f>(Analysis[[#This Row],[delivery_time]]-Analysis[[#This Row],[accept_time]])*24</f>
        <v>6.5500000000465661</v>
      </c>
      <c r="O6">
        <f>(Analysis[[#This Row],[pickup_time]]-Analysis[[#This Row],[accept_time]])*24</f>
        <v>0.55000000004656613</v>
      </c>
      <c r="P6" t="str">
        <f>IF(Analysis[[#This Row],[Total_Delivery_Hours]]&gt;Analysis[[#This Row],[sla_delivery_hrs]], "Breach", "OK")</f>
        <v>OK</v>
      </c>
      <c r="Q6">
        <f>IF(Analysis[[#This Row],[delay_reason]]="None", 0,1)</f>
        <v>1</v>
      </c>
    </row>
    <row r="7" spans="1:17" x14ac:dyDescent="0.25">
      <c r="A7" t="s">
        <v>32</v>
      </c>
      <c r="B7" t="s">
        <v>33</v>
      </c>
      <c r="C7" t="s">
        <v>20</v>
      </c>
      <c r="D7" t="s">
        <v>21</v>
      </c>
      <c r="E7" t="s">
        <v>34</v>
      </c>
      <c r="F7">
        <v>399</v>
      </c>
      <c r="G7" s="1">
        <v>45444.776388888888</v>
      </c>
      <c r="H7" s="1">
        <v>45444.82708333333</v>
      </c>
      <c r="I7" s="1">
        <v>45445.035416666666</v>
      </c>
      <c r="J7">
        <v>16.989999999999998</v>
      </c>
      <c r="K7" t="s">
        <v>30</v>
      </c>
      <c r="L7">
        <v>12</v>
      </c>
      <c r="M7">
        <f>(Analysis[[#This Row],[delivery_time]]-Analysis[[#This Row],[pickup_time]])*24</f>
        <v>5.0000000000582077</v>
      </c>
      <c r="N7">
        <f>(Analysis[[#This Row],[delivery_time]]-Analysis[[#This Row],[accept_time]])*24</f>
        <v>6.2166666666744277</v>
      </c>
      <c r="O7">
        <f>(Analysis[[#This Row],[pickup_time]]-Analysis[[#This Row],[accept_time]])*24</f>
        <v>1.21666666661622</v>
      </c>
      <c r="P7" t="str">
        <f>IF(Analysis[[#This Row],[Total_Delivery_Hours]]&gt;Analysis[[#This Row],[sla_delivery_hrs]], "Breach", "OK")</f>
        <v>OK</v>
      </c>
      <c r="Q7">
        <f>IF(Analysis[[#This Row],[delay_reason]]="None", 0,1)</f>
        <v>1</v>
      </c>
    </row>
    <row r="8" spans="1:17" x14ac:dyDescent="0.25">
      <c r="A8" t="s">
        <v>35</v>
      </c>
      <c r="B8" t="s">
        <v>36</v>
      </c>
      <c r="C8" t="s">
        <v>37</v>
      </c>
      <c r="D8" t="s">
        <v>38</v>
      </c>
      <c r="E8" t="s">
        <v>22</v>
      </c>
      <c r="F8">
        <v>2499</v>
      </c>
      <c r="G8" s="1">
        <v>45444.595833333333</v>
      </c>
      <c r="H8" s="1">
        <v>45444.656944444447</v>
      </c>
      <c r="I8" s="1">
        <v>45444.906944444447</v>
      </c>
      <c r="J8">
        <v>22.89</v>
      </c>
      <c r="K8" t="s">
        <v>30</v>
      </c>
      <c r="L8">
        <v>12</v>
      </c>
      <c r="M8">
        <f>(Analysis[[#This Row],[delivery_time]]-Analysis[[#This Row],[pickup_time]])*24</f>
        <v>6</v>
      </c>
      <c r="N8">
        <f>(Analysis[[#This Row],[delivery_time]]-Analysis[[#This Row],[accept_time]])*24</f>
        <v>7.4666666667326353</v>
      </c>
      <c r="O8">
        <f>(Analysis[[#This Row],[pickup_time]]-Analysis[[#This Row],[accept_time]])*24</f>
        <v>1.4666666667326353</v>
      </c>
      <c r="P8" t="str">
        <f>IF(Analysis[[#This Row],[Total_Delivery_Hours]]&gt;Analysis[[#This Row],[sla_delivery_hrs]], "Breach", "OK")</f>
        <v>OK</v>
      </c>
      <c r="Q8">
        <f>IF(Analysis[[#This Row],[delay_reason]]="None", 0,1)</f>
        <v>1</v>
      </c>
    </row>
    <row r="9" spans="1:17" x14ac:dyDescent="0.25">
      <c r="A9" t="s">
        <v>39</v>
      </c>
      <c r="B9" t="s">
        <v>40</v>
      </c>
      <c r="C9" t="s">
        <v>41</v>
      </c>
      <c r="D9" t="s">
        <v>42</v>
      </c>
      <c r="E9" t="s">
        <v>34</v>
      </c>
      <c r="F9">
        <v>499</v>
      </c>
      <c r="G9" s="1">
        <v>45444.479861111111</v>
      </c>
      <c r="H9" s="1">
        <v>45444.513194444444</v>
      </c>
      <c r="I9" s="1">
        <v>45445.263194444444</v>
      </c>
      <c r="J9">
        <v>21.88</v>
      </c>
      <c r="K9" t="s">
        <v>17</v>
      </c>
      <c r="L9">
        <v>12</v>
      </c>
      <c r="M9">
        <f>(Analysis[[#This Row],[delivery_time]]-Analysis[[#This Row],[pickup_time]])*24</f>
        <v>18</v>
      </c>
      <c r="N9">
        <f>(Analysis[[#This Row],[delivery_time]]-Analysis[[#This Row],[accept_time]])*24</f>
        <v>18.799999999988358</v>
      </c>
      <c r="O9">
        <f>(Analysis[[#This Row],[pickup_time]]-Analysis[[#This Row],[accept_time]])*24</f>
        <v>0.79999999998835847</v>
      </c>
      <c r="P9" t="str">
        <f>IF(Analysis[[#This Row],[Total_Delivery_Hours]]&gt;Analysis[[#This Row],[sla_delivery_hrs]], "Breach", "OK")</f>
        <v>Breach</v>
      </c>
      <c r="Q9">
        <f>IF(Analysis[[#This Row],[delay_reason]]="None", 0,1)</f>
        <v>1</v>
      </c>
    </row>
    <row r="10" spans="1:17" x14ac:dyDescent="0.25">
      <c r="A10" t="s">
        <v>43</v>
      </c>
      <c r="B10" t="s">
        <v>44</v>
      </c>
      <c r="C10" t="s">
        <v>45</v>
      </c>
      <c r="D10" t="s">
        <v>46</v>
      </c>
      <c r="E10" t="s">
        <v>34</v>
      </c>
      <c r="F10">
        <v>1499</v>
      </c>
      <c r="G10" s="1">
        <v>45444.699305555558</v>
      </c>
      <c r="H10" s="1">
        <v>45444.724305555559</v>
      </c>
      <c r="I10" s="1">
        <v>45445.474305555559</v>
      </c>
      <c r="J10">
        <v>10.220000000000001</v>
      </c>
      <c r="K10" t="s">
        <v>30</v>
      </c>
      <c r="L10">
        <v>12</v>
      </c>
      <c r="M10">
        <f>(Analysis[[#This Row],[delivery_time]]-Analysis[[#This Row],[pickup_time]])*24</f>
        <v>18</v>
      </c>
      <c r="N10">
        <f>(Analysis[[#This Row],[delivery_time]]-Analysis[[#This Row],[accept_time]])*24</f>
        <v>18.600000000034925</v>
      </c>
      <c r="O10">
        <f>(Analysis[[#This Row],[pickup_time]]-Analysis[[#This Row],[accept_time]])*24</f>
        <v>0.6000000000349246</v>
      </c>
      <c r="P10" t="str">
        <f>IF(Analysis[[#This Row],[Total_Delivery_Hours]]&gt;Analysis[[#This Row],[sla_delivery_hrs]], "Breach", "OK")</f>
        <v>Breach</v>
      </c>
      <c r="Q10">
        <f>IF(Analysis[[#This Row],[delay_reason]]="None", 0,1)</f>
        <v>1</v>
      </c>
    </row>
    <row r="11" spans="1:17" x14ac:dyDescent="0.25">
      <c r="A11" t="s">
        <v>47</v>
      </c>
      <c r="B11" t="s">
        <v>48</v>
      </c>
      <c r="C11" t="s">
        <v>14</v>
      </c>
      <c r="D11" t="s">
        <v>15</v>
      </c>
      <c r="E11" t="s">
        <v>29</v>
      </c>
      <c r="F11">
        <v>2499</v>
      </c>
      <c r="G11" s="1">
        <v>45444.495833333334</v>
      </c>
      <c r="H11" s="1">
        <v>45444.529861111114</v>
      </c>
      <c r="I11" s="1">
        <v>45445.196527777778</v>
      </c>
      <c r="J11">
        <v>22.91</v>
      </c>
      <c r="K11" t="s">
        <v>23</v>
      </c>
      <c r="L11">
        <v>12</v>
      </c>
      <c r="M11">
        <f>(Analysis[[#This Row],[delivery_time]]-Analysis[[#This Row],[pickup_time]])*24</f>
        <v>15.999999999941792</v>
      </c>
      <c r="N11">
        <f>(Analysis[[#This Row],[delivery_time]]-Analysis[[#This Row],[accept_time]])*24</f>
        <v>16.816666666651145</v>
      </c>
      <c r="O11">
        <f>(Analysis[[#This Row],[pickup_time]]-Analysis[[#This Row],[accept_time]])*24</f>
        <v>0.81666666670935228</v>
      </c>
      <c r="P11" t="str">
        <f>IF(Analysis[[#This Row],[Total_Delivery_Hours]]&gt;Analysis[[#This Row],[sla_delivery_hrs]], "Breach", "OK")</f>
        <v>Breach</v>
      </c>
      <c r="Q11">
        <f>IF(Analysis[[#This Row],[delay_reason]]="None", 0,1)</f>
        <v>1</v>
      </c>
    </row>
    <row r="12" spans="1:17" x14ac:dyDescent="0.25">
      <c r="A12" t="s">
        <v>49</v>
      </c>
      <c r="B12" t="s">
        <v>50</v>
      </c>
      <c r="C12" t="s">
        <v>20</v>
      </c>
      <c r="D12" t="s">
        <v>21</v>
      </c>
      <c r="E12" t="s">
        <v>26</v>
      </c>
      <c r="F12">
        <v>499</v>
      </c>
      <c r="G12" s="1">
        <v>45444.676388888889</v>
      </c>
      <c r="H12" s="1">
        <v>45444.750694444447</v>
      </c>
      <c r="I12" s="1">
        <v>45445.417361111111</v>
      </c>
      <c r="J12">
        <v>23.61</v>
      </c>
      <c r="K12" t="s">
        <v>17</v>
      </c>
      <c r="L12">
        <v>12</v>
      </c>
      <c r="M12">
        <f>(Analysis[[#This Row],[delivery_time]]-Analysis[[#This Row],[pickup_time]])*24</f>
        <v>15.999999999941792</v>
      </c>
      <c r="N12">
        <f>(Analysis[[#This Row],[delivery_time]]-Analysis[[#This Row],[accept_time]])*24</f>
        <v>17.783333333325572</v>
      </c>
      <c r="O12">
        <f>(Analysis[[#This Row],[pickup_time]]-Analysis[[#This Row],[accept_time]])*24</f>
        <v>1.78333333338378</v>
      </c>
      <c r="P12" t="str">
        <f>IF(Analysis[[#This Row],[Total_Delivery_Hours]]&gt;Analysis[[#This Row],[sla_delivery_hrs]], "Breach", "OK")</f>
        <v>Breach</v>
      </c>
      <c r="Q12">
        <f>IF(Analysis[[#This Row],[delay_reason]]="None", 0,1)</f>
        <v>1</v>
      </c>
    </row>
    <row r="13" spans="1:17" x14ac:dyDescent="0.25">
      <c r="A13" t="s">
        <v>51</v>
      </c>
      <c r="B13" t="s">
        <v>52</v>
      </c>
      <c r="C13" t="s">
        <v>37</v>
      </c>
      <c r="D13" t="s">
        <v>38</v>
      </c>
      <c r="E13" t="s">
        <v>16</v>
      </c>
      <c r="F13">
        <v>2499</v>
      </c>
      <c r="G13" s="1">
        <v>45444.550694444442</v>
      </c>
      <c r="H13" s="1">
        <v>45444.570833333331</v>
      </c>
      <c r="I13" s="1">
        <v>45445.404166666667</v>
      </c>
      <c r="J13">
        <v>22.48</v>
      </c>
      <c r="K13" t="s">
        <v>53</v>
      </c>
      <c r="L13">
        <v>12</v>
      </c>
      <c r="M13">
        <f>(Analysis[[#This Row],[delivery_time]]-Analysis[[#This Row],[pickup_time]])*24</f>
        <v>20.000000000058208</v>
      </c>
      <c r="N13">
        <f>(Analysis[[#This Row],[delivery_time]]-Analysis[[#This Row],[accept_time]])*24</f>
        <v>20.483333333395422</v>
      </c>
      <c r="O13">
        <f>(Analysis[[#This Row],[pickup_time]]-Analysis[[#This Row],[accept_time]])*24</f>
        <v>0.48333333333721384</v>
      </c>
      <c r="P13" t="str">
        <f>IF(Analysis[[#This Row],[Total_Delivery_Hours]]&gt;Analysis[[#This Row],[sla_delivery_hrs]], "Breach", "OK")</f>
        <v>Breach</v>
      </c>
      <c r="Q13">
        <f>IF(Analysis[[#This Row],[delay_reason]]="None", 0,1)</f>
        <v>0</v>
      </c>
    </row>
    <row r="14" spans="1:17" x14ac:dyDescent="0.25">
      <c r="A14" t="s">
        <v>54</v>
      </c>
      <c r="B14" t="s">
        <v>55</v>
      </c>
      <c r="C14" t="s">
        <v>41</v>
      </c>
      <c r="D14" t="s">
        <v>42</v>
      </c>
      <c r="E14" t="s">
        <v>22</v>
      </c>
      <c r="F14">
        <v>499</v>
      </c>
      <c r="G14" s="1">
        <v>45444.707638888889</v>
      </c>
      <c r="H14" s="1">
        <v>45444.729861111111</v>
      </c>
      <c r="I14" s="1">
        <v>45445.313194444447</v>
      </c>
      <c r="J14">
        <v>12.59</v>
      </c>
      <c r="K14" t="s">
        <v>23</v>
      </c>
      <c r="L14">
        <v>12</v>
      </c>
      <c r="M14">
        <f>(Analysis[[#This Row],[delivery_time]]-Analysis[[#This Row],[pickup_time]])*24</f>
        <v>14.000000000058208</v>
      </c>
      <c r="N14">
        <f>(Analysis[[#This Row],[delivery_time]]-Analysis[[#This Row],[accept_time]])*24</f>
        <v>14.53333333338378</v>
      </c>
      <c r="O14">
        <f>(Analysis[[#This Row],[pickup_time]]-Analysis[[#This Row],[accept_time]])*24</f>
        <v>0.53333333332557231</v>
      </c>
      <c r="P14" t="str">
        <f>IF(Analysis[[#This Row],[Total_Delivery_Hours]]&gt;Analysis[[#This Row],[sla_delivery_hrs]], "Breach", "OK")</f>
        <v>Breach</v>
      </c>
      <c r="Q14">
        <f>IF(Analysis[[#This Row],[delay_reason]]="None", 0,1)</f>
        <v>1</v>
      </c>
    </row>
    <row r="15" spans="1:17" x14ac:dyDescent="0.25">
      <c r="A15" t="s">
        <v>56</v>
      </c>
      <c r="B15" t="s">
        <v>57</v>
      </c>
      <c r="C15" t="s">
        <v>45</v>
      </c>
      <c r="D15" t="s">
        <v>46</v>
      </c>
      <c r="E15" t="s">
        <v>16</v>
      </c>
      <c r="F15">
        <v>299</v>
      </c>
      <c r="G15" s="1">
        <v>45444.538194444445</v>
      </c>
      <c r="H15" s="1">
        <v>45444.554166666669</v>
      </c>
      <c r="I15" s="1">
        <v>45444.887499999997</v>
      </c>
      <c r="J15">
        <v>16.510000000000002</v>
      </c>
      <c r="K15" t="s">
        <v>17</v>
      </c>
      <c r="L15">
        <v>12</v>
      </c>
      <c r="M15">
        <f>(Analysis[[#This Row],[delivery_time]]-Analysis[[#This Row],[pickup_time]])*24</f>
        <v>7.9999999998835847</v>
      </c>
      <c r="N15">
        <f>(Analysis[[#This Row],[delivery_time]]-Analysis[[#This Row],[accept_time]])*24</f>
        <v>8.3833333332440816</v>
      </c>
      <c r="O15">
        <f>(Analysis[[#This Row],[pickup_time]]-Analysis[[#This Row],[accept_time]])*24</f>
        <v>0.38333333336049691</v>
      </c>
      <c r="P15" t="str">
        <f>IF(Analysis[[#This Row],[Total_Delivery_Hours]]&gt;Analysis[[#This Row],[sla_delivery_hrs]], "Breach", "OK")</f>
        <v>OK</v>
      </c>
      <c r="Q15">
        <f>IF(Analysis[[#This Row],[delay_reason]]="None", 0,1)</f>
        <v>1</v>
      </c>
    </row>
    <row r="16" spans="1:17" x14ac:dyDescent="0.25">
      <c r="A16" t="s">
        <v>58</v>
      </c>
      <c r="B16" t="s">
        <v>44</v>
      </c>
      <c r="C16" t="s">
        <v>41</v>
      </c>
      <c r="D16" t="s">
        <v>42</v>
      </c>
      <c r="E16" t="s">
        <v>16</v>
      </c>
      <c r="F16">
        <v>1299</v>
      </c>
      <c r="G16" s="1">
        <v>45444.646527777775</v>
      </c>
      <c r="H16" s="1">
        <v>45444.692361111112</v>
      </c>
      <c r="I16" s="1">
        <v>45444.859027777777</v>
      </c>
      <c r="J16">
        <v>22.66</v>
      </c>
      <c r="K16" t="s">
        <v>23</v>
      </c>
      <c r="L16">
        <v>12</v>
      </c>
      <c r="M16">
        <f>(Analysis[[#This Row],[delivery_time]]-Analysis[[#This Row],[pickup_time]])*24</f>
        <v>3.9999999999417923</v>
      </c>
      <c r="N16">
        <f>(Analysis[[#This Row],[delivery_time]]-Analysis[[#This Row],[accept_time]])*24</f>
        <v>5.1000000000349246</v>
      </c>
      <c r="O16">
        <f>(Analysis[[#This Row],[pickup_time]]-Analysis[[#This Row],[accept_time]])*24</f>
        <v>1.1000000000931323</v>
      </c>
      <c r="P16" t="str">
        <f>IF(Analysis[[#This Row],[Total_Delivery_Hours]]&gt;Analysis[[#This Row],[sla_delivery_hrs]], "Breach", "OK")</f>
        <v>OK</v>
      </c>
      <c r="Q16">
        <f>IF(Analysis[[#This Row],[delay_reason]]="None", 0,1)</f>
        <v>1</v>
      </c>
    </row>
    <row r="17" spans="1:17" x14ac:dyDescent="0.25">
      <c r="A17" t="s">
        <v>59</v>
      </c>
      <c r="B17" t="s">
        <v>13</v>
      </c>
      <c r="C17" t="s">
        <v>45</v>
      </c>
      <c r="D17" t="s">
        <v>46</v>
      </c>
      <c r="E17" t="s">
        <v>26</v>
      </c>
      <c r="F17">
        <v>399</v>
      </c>
      <c r="G17" s="1">
        <v>45444.729166666664</v>
      </c>
      <c r="H17" s="1">
        <v>45444.788194444445</v>
      </c>
      <c r="I17" s="1">
        <v>45444.996527777781</v>
      </c>
      <c r="J17">
        <v>12.2</v>
      </c>
      <c r="K17" t="s">
        <v>30</v>
      </c>
      <c r="L17">
        <v>12</v>
      </c>
      <c r="M17">
        <f>(Analysis[[#This Row],[delivery_time]]-Analysis[[#This Row],[pickup_time]])*24</f>
        <v>5.0000000000582077</v>
      </c>
      <c r="N17">
        <f>(Analysis[[#This Row],[delivery_time]]-Analysis[[#This Row],[accept_time]])*24</f>
        <v>6.4166666668024845</v>
      </c>
      <c r="O17">
        <f>(Analysis[[#This Row],[pickup_time]]-Analysis[[#This Row],[accept_time]])*24</f>
        <v>1.4166666667442769</v>
      </c>
      <c r="P17" t="str">
        <f>IF(Analysis[[#This Row],[Total_Delivery_Hours]]&gt;Analysis[[#This Row],[sla_delivery_hrs]], "Breach", "OK")</f>
        <v>OK</v>
      </c>
      <c r="Q17">
        <f>IF(Analysis[[#This Row],[delay_reason]]="None", 0,1)</f>
        <v>1</v>
      </c>
    </row>
    <row r="18" spans="1:17" x14ac:dyDescent="0.25">
      <c r="A18" t="s">
        <v>60</v>
      </c>
      <c r="B18" t="s">
        <v>55</v>
      </c>
      <c r="C18" t="s">
        <v>45</v>
      </c>
      <c r="D18" t="s">
        <v>46</v>
      </c>
      <c r="E18" t="s">
        <v>16</v>
      </c>
      <c r="F18">
        <v>1499</v>
      </c>
      <c r="G18" s="1">
        <v>45444.495138888888</v>
      </c>
      <c r="H18" s="1">
        <v>45444.578472222223</v>
      </c>
      <c r="I18" s="1">
        <v>45445.078472222223</v>
      </c>
      <c r="J18">
        <v>14.93</v>
      </c>
      <c r="K18" t="s">
        <v>17</v>
      </c>
      <c r="L18">
        <v>12</v>
      </c>
      <c r="M18">
        <f>(Analysis[[#This Row],[delivery_time]]-Analysis[[#This Row],[pickup_time]])*24</f>
        <v>12</v>
      </c>
      <c r="N18">
        <f>(Analysis[[#This Row],[delivery_time]]-Analysis[[#This Row],[accept_time]])*24</f>
        <v>14.000000000058208</v>
      </c>
      <c r="O18">
        <f>(Analysis[[#This Row],[pickup_time]]-Analysis[[#This Row],[accept_time]])*24</f>
        <v>2.0000000000582077</v>
      </c>
      <c r="P18" t="str">
        <f>IF(Analysis[[#This Row],[Total_Delivery_Hours]]&gt;Analysis[[#This Row],[sla_delivery_hrs]], "Breach", "OK")</f>
        <v>OK</v>
      </c>
      <c r="Q18">
        <f>IF(Analysis[[#This Row],[delay_reason]]="None", 0,1)</f>
        <v>1</v>
      </c>
    </row>
    <row r="19" spans="1:17" x14ac:dyDescent="0.25">
      <c r="A19" t="s">
        <v>61</v>
      </c>
      <c r="B19" t="s">
        <v>62</v>
      </c>
      <c r="C19" t="s">
        <v>20</v>
      </c>
      <c r="D19" t="s">
        <v>21</v>
      </c>
      <c r="E19" t="s">
        <v>34</v>
      </c>
      <c r="F19">
        <v>499</v>
      </c>
      <c r="G19" s="1">
        <v>45444.706944444442</v>
      </c>
      <c r="H19" s="1">
        <v>45444.720833333333</v>
      </c>
      <c r="I19" s="1">
        <v>45445.220833333333</v>
      </c>
      <c r="J19">
        <v>24.24</v>
      </c>
      <c r="K19" t="s">
        <v>53</v>
      </c>
      <c r="L19">
        <v>12</v>
      </c>
      <c r="M19">
        <f>(Analysis[[#This Row],[delivery_time]]-Analysis[[#This Row],[pickup_time]])*24</f>
        <v>12</v>
      </c>
      <c r="N19">
        <f>(Analysis[[#This Row],[delivery_time]]-Analysis[[#This Row],[accept_time]])*24</f>
        <v>12.333333333372138</v>
      </c>
      <c r="O19">
        <f>(Analysis[[#This Row],[pickup_time]]-Analysis[[#This Row],[accept_time]])*24</f>
        <v>0.33333333337213844</v>
      </c>
      <c r="P19" t="str">
        <f>IF(Analysis[[#This Row],[Total_Delivery_Hours]]&gt;Analysis[[#This Row],[sla_delivery_hrs]], "Breach", "OK")</f>
        <v>OK</v>
      </c>
      <c r="Q19">
        <f>IF(Analysis[[#This Row],[delay_reason]]="None", 0,1)</f>
        <v>0</v>
      </c>
    </row>
    <row r="20" spans="1:17" x14ac:dyDescent="0.25">
      <c r="A20" t="s">
        <v>63</v>
      </c>
      <c r="B20" t="s">
        <v>64</v>
      </c>
      <c r="C20" t="s">
        <v>20</v>
      </c>
      <c r="D20" t="s">
        <v>21</v>
      </c>
      <c r="E20" t="s">
        <v>34</v>
      </c>
      <c r="F20">
        <v>1999</v>
      </c>
      <c r="G20" s="1">
        <v>45444.700694444444</v>
      </c>
      <c r="H20" s="1">
        <v>45444.779861111114</v>
      </c>
      <c r="I20" s="1">
        <v>45445.321527777778</v>
      </c>
      <c r="J20">
        <v>9.42</v>
      </c>
      <c r="K20" t="s">
        <v>17</v>
      </c>
      <c r="L20">
        <v>12</v>
      </c>
      <c r="M20">
        <f>(Analysis[[#This Row],[delivery_time]]-Analysis[[#This Row],[pickup_time]])*24</f>
        <v>12.999999999941792</v>
      </c>
      <c r="N20">
        <f>(Analysis[[#This Row],[delivery_time]]-Analysis[[#This Row],[accept_time]])*24</f>
        <v>14.900000000023283</v>
      </c>
      <c r="O20">
        <f>(Analysis[[#This Row],[pickup_time]]-Analysis[[#This Row],[accept_time]])*24</f>
        <v>1.9000000000814907</v>
      </c>
      <c r="P20" t="str">
        <f>IF(Analysis[[#This Row],[Total_Delivery_Hours]]&gt;Analysis[[#This Row],[sla_delivery_hrs]], "Breach", "OK")</f>
        <v>Breach</v>
      </c>
      <c r="Q20">
        <f>IF(Analysis[[#This Row],[delay_reason]]="None", 0,1)</f>
        <v>1</v>
      </c>
    </row>
    <row r="21" spans="1:17" x14ac:dyDescent="0.25">
      <c r="A21" t="s">
        <v>65</v>
      </c>
      <c r="B21" t="s">
        <v>66</v>
      </c>
      <c r="C21" t="s">
        <v>20</v>
      </c>
      <c r="D21" t="s">
        <v>21</v>
      </c>
      <c r="E21" t="s">
        <v>29</v>
      </c>
      <c r="F21">
        <v>499</v>
      </c>
      <c r="G21" s="1">
        <v>45444.536805555559</v>
      </c>
      <c r="H21" s="1">
        <v>45444.585416666669</v>
      </c>
      <c r="I21" s="1">
        <v>45445.252083333333</v>
      </c>
      <c r="J21">
        <v>7.56</v>
      </c>
      <c r="K21" t="s">
        <v>53</v>
      </c>
      <c r="L21">
        <v>12</v>
      </c>
      <c r="M21">
        <f>(Analysis[[#This Row],[delivery_time]]-Analysis[[#This Row],[pickup_time]])*24</f>
        <v>15.999999999941792</v>
      </c>
      <c r="N21">
        <f>(Analysis[[#This Row],[delivery_time]]-Analysis[[#This Row],[accept_time]])*24</f>
        <v>17.166666666569654</v>
      </c>
      <c r="O21">
        <f>(Analysis[[#This Row],[pickup_time]]-Analysis[[#This Row],[accept_time]])*24</f>
        <v>1.1666666666278616</v>
      </c>
      <c r="P21" t="str">
        <f>IF(Analysis[[#This Row],[Total_Delivery_Hours]]&gt;Analysis[[#This Row],[sla_delivery_hrs]], "Breach", "OK")</f>
        <v>Breach</v>
      </c>
      <c r="Q21">
        <f>IF(Analysis[[#This Row],[delay_reason]]="None", 0,1)</f>
        <v>0</v>
      </c>
    </row>
    <row r="22" spans="1:17" x14ac:dyDescent="0.25">
      <c r="A22" t="s">
        <v>67</v>
      </c>
      <c r="B22" t="s">
        <v>19</v>
      </c>
      <c r="C22" t="s">
        <v>20</v>
      </c>
      <c r="D22" t="s">
        <v>21</v>
      </c>
      <c r="E22" t="s">
        <v>68</v>
      </c>
      <c r="F22">
        <v>699</v>
      </c>
      <c r="G22" s="1">
        <v>45444.606249999997</v>
      </c>
      <c r="H22" s="1">
        <v>45444.668749999997</v>
      </c>
      <c r="I22" s="1">
        <v>45445.418749999997</v>
      </c>
      <c r="J22">
        <v>7.13</v>
      </c>
      <c r="K22" t="s">
        <v>17</v>
      </c>
      <c r="L22">
        <v>12</v>
      </c>
      <c r="M22">
        <f>(Analysis[[#This Row],[delivery_time]]-Analysis[[#This Row],[pickup_time]])*24</f>
        <v>18</v>
      </c>
      <c r="N22">
        <f>(Analysis[[#This Row],[delivery_time]]-Analysis[[#This Row],[accept_time]])*24</f>
        <v>19.5</v>
      </c>
      <c r="O22">
        <f>(Analysis[[#This Row],[pickup_time]]-Analysis[[#This Row],[accept_time]])*24</f>
        <v>1.5</v>
      </c>
      <c r="P22" t="str">
        <f>IF(Analysis[[#This Row],[Total_Delivery_Hours]]&gt;Analysis[[#This Row],[sla_delivery_hrs]], "Breach", "OK")</f>
        <v>Breach</v>
      </c>
      <c r="Q22">
        <f>IF(Analysis[[#This Row],[delay_reason]]="None", 0,1)</f>
        <v>1</v>
      </c>
    </row>
    <row r="23" spans="1:17" x14ac:dyDescent="0.25">
      <c r="A23" t="s">
        <v>69</v>
      </c>
      <c r="B23" t="s">
        <v>70</v>
      </c>
      <c r="C23" t="s">
        <v>41</v>
      </c>
      <c r="D23" t="s">
        <v>42</v>
      </c>
      <c r="E23" t="s">
        <v>26</v>
      </c>
      <c r="F23">
        <v>399</v>
      </c>
      <c r="G23" s="1">
        <v>45444.43472222222</v>
      </c>
      <c r="H23" s="1">
        <v>45444.45416666667</v>
      </c>
      <c r="I23" s="1">
        <v>45444.912499999999</v>
      </c>
      <c r="J23">
        <v>21.13</v>
      </c>
      <c r="K23" t="s">
        <v>17</v>
      </c>
      <c r="L23">
        <v>12</v>
      </c>
      <c r="M23">
        <f>(Analysis[[#This Row],[delivery_time]]-Analysis[[#This Row],[pickup_time]])*24</f>
        <v>10.999999999883585</v>
      </c>
      <c r="N23">
        <f>(Analysis[[#This Row],[delivery_time]]-Analysis[[#This Row],[accept_time]])*24</f>
        <v>11.466666666674428</v>
      </c>
      <c r="O23">
        <f>(Analysis[[#This Row],[pickup_time]]-Analysis[[#This Row],[accept_time]])*24</f>
        <v>0.46666666679084301</v>
      </c>
      <c r="P23" t="str">
        <f>IF(Analysis[[#This Row],[Total_Delivery_Hours]]&gt;Analysis[[#This Row],[sla_delivery_hrs]], "Breach", "OK")</f>
        <v>OK</v>
      </c>
      <c r="Q23">
        <f>IF(Analysis[[#This Row],[delay_reason]]="None", 0,1)</f>
        <v>1</v>
      </c>
    </row>
    <row r="24" spans="1:17" x14ac:dyDescent="0.25">
      <c r="A24" t="s">
        <v>71</v>
      </c>
      <c r="B24" t="s">
        <v>72</v>
      </c>
      <c r="C24" t="s">
        <v>41</v>
      </c>
      <c r="D24" t="s">
        <v>42</v>
      </c>
      <c r="E24" t="s">
        <v>26</v>
      </c>
      <c r="F24">
        <v>299</v>
      </c>
      <c r="G24" s="1">
        <v>45444.78125</v>
      </c>
      <c r="H24" s="1">
        <v>45444.856249999997</v>
      </c>
      <c r="I24" s="1">
        <v>45445.189583333333</v>
      </c>
      <c r="J24">
        <v>18.98</v>
      </c>
      <c r="K24" t="s">
        <v>23</v>
      </c>
      <c r="L24">
        <v>12</v>
      </c>
      <c r="M24">
        <f>(Analysis[[#This Row],[delivery_time]]-Analysis[[#This Row],[pickup_time]])*24</f>
        <v>8.0000000000582077</v>
      </c>
      <c r="N24">
        <f>(Analysis[[#This Row],[delivery_time]]-Analysis[[#This Row],[accept_time]])*24</f>
        <v>9.7999999999883585</v>
      </c>
      <c r="O24">
        <f>(Analysis[[#This Row],[pickup_time]]-Analysis[[#This Row],[accept_time]])*24</f>
        <v>1.7999999999301508</v>
      </c>
      <c r="P24" t="str">
        <f>IF(Analysis[[#This Row],[Total_Delivery_Hours]]&gt;Analysis[[#This Row],[sla_delivery_hrs]], "Breach", "OK")</f>
        <v>OK</v>
      </c>
      <c r="Q24">
        <f>IF(Analysis[[#This Row],[delay_reason]]="None", 0,1)</f>
        <v>1</v>
      </c>
    </row>
    <row r="25" spans="1:17" x14ac:dyDescent="0.25">
      <c r="A25" t="s">
        <v>73</v>
      </c>
      <c r="B25" t="s">
        <v>44</v>
      </c>
      <c r="C25" t="s">
        <v>14</v>
      </c>
      <c r="D25" t="s">
        <v>15</v>
      </c>
      <c r="E25" t="s">
        <v>26</v>
      </c>
      <c r="F25">
        <v>2499</v>
      </c>
      <c r="G25" s="1">
        <v>45444.465277777781</v>
      </c>
      <c r="H25" s="1">
        <v>45444.479861111111</v>
      </c>
      <c r="I25" s="1">
        <v>45445.021527777775</v>
      </c>
      <c r="J25">
        <v>13.45</v>
      </c>
      <c r="K25" t="s">
        <v>17</v>
      </c>
      <c r="L25">
        <v>12</v>
      </c>
      <c r="M25">
        <f>(Analysis[[#This Row],[delivery_time]]-Analysis[[#This Row],[pickup_time]])*24</f>
        <v>12.999999999941792</v>
      </c>
      <c r="N25">
        <f>(Analysis[[#This Row],[delivery_time]]-Analysis[[#This Row],[accept_time]])*24</f>
        <v>13.349999999860302</v>
      </c>
      <c r="O25">
        <f>(Analysis[[#This Row],[pickup_time]]-Analysis[[#This Row],[accept_time]])*24</f>
        <v>0.34999999991850927</v>
      </c>
      <c r="P25" t="str">
        <f>IF(Analysis[[#This Row],[Total_Delivery_Hours]]&gt;Analysis[[#This Row],[sla_delivery_hrs]], "Breach", "OK")</f>
        <v>Breach</v>
      </c>
      <c r="Q25">
        <f>IF(Analysis[[#This Row],[delay_reason]]="None", 0,1)</f>
        <v>1</v>
      </c>
    </row>
    <row r="26" spans="1:17" x14ac:dyDescent="0.25">
      <c r="A26" t="s">
        <v>74</v>
      </c>
      <c r="B26" t="s">
        <v>75</v>
      </c>
      <c r="C26" t="s">
        <v>14</v>
      </c>
      <c r="D26" t="s">
        <v>15</v>
      </c>
      <c r="E26" t="s">
        <v>68</v>
      </c>
      <c r="F26">
        <v>199</v>
      </c>
      <c r="G26" s="1">
        <v>45444.665972222225</v>
      </c>
      <c r="H26" s="1">
        <v>45444.688888888886</v>
      </c>
      <c r="I26" s="1">
        <v>45445.438888888886</v>
      </c>
      <c r="J26">
        <v>14.57</v>
      </c>
      <c r="K26" t="s">
        <v>23</v>
      </c>
      <c r="L26">
        <v>12</v>
      </c>
      <c r="M26">
        <f>(Analysis[[#This Row],[delivery_time]]-Analysis[[#This Row],[pickup_time]])*24</f>
        <v>18</v>
      </c>
      <c r="N26">
        <f>(Analysis[[#This Row],[delivery_time]]-Analysis[[#This Row],[accept_time]])*24</f>
        <v>18.549999999871943</v>
      </c>
      <c r="O26">
        <f>(Analysis[[#This Row],[pickup_time]]-Analysis[[#This Row],[accept_time]])*24</f>
        <v>0.54999999987194315</v>
      </c>
      <c r="P26" t="str">
        <f>IF(Analysis[[#This Row],[Total_Delivery_Hours]]&gt;Analysis[[#This Row],[sla_delivery_hrs]], "Breach", "OK")</f>
        <v>Breach</v>
      </c>
      <c r="Q26">
        <f>IF(Analysis[[#This Row],[delay_reason]]="None", 0,1)</f>
        <v>1</v>
      </c>
    </row>
    <row r="27" spans="1:17" x14ac:dyDescent="0.25">
      <c r="A27" t="s">
        <v>76</v>
      </c>
      <c r="B27" t="s">
        <v>57</v>
      </c>
      <c r="C27" t="s">
        <v>37</v>
      </c>
      <c r="D27" t="s">
        <v>38</v>
      </c>
      <c r="E27" t="s">
        <v>34</v>
      </c>
      <c r="F27">
        <v>299</v>
      </c>
      <c r="G27" s="1">
        <v>45444.509027777778</v>
      </c>
      <c r="H27" s="1">
        <v>45444.54791666667</v>
      </c>
      <c r="I27" s="1">
        <v>45444.79791666667</v>
      </c>
      <c r="J27">
        <v>10.96</v>
      </c>
      <c r="K27" t="s">
        <v>30</v>
      </c>
      <c r="L27">
        <v>12</v>
      </c>
      <c r="M27">
        <f>(Analysis[[#This Row],[delivery_time]]-Analysis[[#This Row],[pickup_time]])*24</f>
        <v>6</v>
      </c>
      <c r="N27">
        <f>(Analysis[[#This Row],[delivery_time]]-Analysis[[#This Row],[accept_time]])*24</f>
        <v>6.933333333407063</v>
      </c>
      <c r="O27">
        <f>(Analysis[[#This Row],[pickup_time]]-Analysis[[#This Row],[accept_time]])*24</f>
        <v>0.93333333340706304</v>
      </c>
      <c r="P27" t="str">
        <f>IF(Analysis[[#This Row],[Total_Delivery_Hours]]&gt;Analysis[[#This Row],[sla_delivery_hrs]], "Breach", "OK")</f>
        <v>OK</v>
      </c>
      <c r="Q27">
        <f>IF(Analysis[[#This Row],[delay_reason]]="None", 0,1)</f>
        <v>1</v>
      </c>
    </row>
    <row r="28" spans="1:17" x14ac:dyDescent="0.25">
      <c r="A28" t="s">
        <v>77</v>
      </c>
      <c r="B28" t="s">
        <v>78</v>
      </c>
      <c r="C28" t="s">
        <v>14</v>
      </c>
      <c r="D28" t="s">
        <v>15</v>
      </c>
      <c r="E28" t="s">
        <v>34</v>
      </c>
      <c r="F28">
        <v>1499</v>
      </c>
      <c r="G28" s="1">
        <v>45444.583333333336</v>
      </c>
      <c r="H28" s="1">
        <v>45444.616666666669</v>
      </c>
      <c r="I28" s="1">
        <v>45445.033333333333</v>
      </c>
      <c r="J28">
        <v>6.13</v>
      </c>
      <c r="K28" t="s">
        <v>30</v>
      </c>
      <c r="L28">
        <v>12</v>
      </c>
      <c r="M28">
        <f>(Analysis[[#This Row],[delivery_time]]-Analysis[[#This Row],[pickup_time]])*24</f>
        <v>9.9999999999417923</v>
      </c>
      <c r="N28">
        <f>(Analysis[[#This Row],[delivery_time]]-Analysis[[#This Row],[accept_time]])*24</f>
        <v>10.799999999930151</v>
      </c>
      <c r="O28">
        <f>(Analysis[[#This Row],[pickup_time]]-Analysis[[#This Row],[accept_time]])*24</f>
        <v>0.79999999998835847</v>
      </c>
      <c r="P28" t="str">
        <f>IF(Analysis[[#This Row],[Total_Delivery_Hours]]&gt;Analysis[[#This Row],[sla_delivery_hrs]], "Breach", "OK")</f>
        <v>OK</v>
      </c>
      <c r="Q28">
        <f>IF(Analysis[[#This Row],[delay_reason]]="None", 0,1)</f>
        <v>1</v>
      </c>
    </row>
    <row r="29" spans="1:17" x14ac:dyDescent="0.25">
      <c r="A29" t="s">
        <v>79</v>
      </c>
      <c r="B29" t="s">
        <v>70</v>
      </c>
      <c r="C29" t="s">
        <v>45</v>
      </c>
      <c r="D29" t="s">
        <v>46</v>
      </c>
      <c r="E29" t="s">
        <v>68</v>
      </c>
      <c r="F29">
        <v>199</v>
      </c>
      <c r="G29" s="1">
        <v>45444.490277777775</v>
      </c>
      <c r="H29" s="1">
        <v>45444.529166666667</v>
      </c>
      <c r="I29" s="1">
        <v>45444.904166666667</v>
      </c>
      <c r="J29">
        <v>20.99</v>
      </c>
      <c r="K29" t="s">
        <v>30</v>
      </c>
      <c r="L29">
        <v>12</v>
      </c>
      <c r="M29">
        <f>(Analysis[[#This Row],[delivery_time]]-Analysis[[#This Row],[pickup_time]])*24</f>
        <v>9</v>
      </c>
      <c r="N29">
        <f>(Analysis[[#This Row],[delivery_time]]-Analysis[[#This Row],[accept_time]])*24</f>
        <v>9.933333333407063</v>
      </c>
      <c r="O29">
        <f>(Analysis[[#This Row],[pickup_time]]-Analysis[[#This Row],[accept_time]])*24</f>
        <v>0.93333333340706304</v>
      </c>
      <c r="P29" t="str">
        <f>IF(Analysis[[#This Row],[Total_Delivery_Hours]]&gt;Analysis[[#This Row],[sla_delivery_hrs]], "Breach", "OK")</f>
        <v>OK</v>
      </c>
      <c r="Q29">
        <f>IF(Analysis[[#This Row],[delay_reason]]="None", 0,1)</f>
        <v>1</v>
      </c>
    </row>
    <row r="30" spans="1:17" x14ac:dyDescent="0.25">
      <c r="A30" t="s">
        <v>80</v>
      </c>
      <c r="B30" t="s">
        <v>81</v>
      </c>
      <c r="C30" t="s">
        <v>14</v>
      </c>
      <c r="D30" t="s">
        <v>15</v>
      </c>
      <c r="E30" t="s">
        <v>68</v>
      </c>
      <c r="F30">
        <v>199</v>
      </c>
      <c r="G30" s="1">
        <v>45444.570833333331</v>
      </c>
      <c r="H30" s="1">
        <v>45444.629166666666</v>
      </c>
      <c r="I30" s="1">
        <v>45445.337500000001</v>
      </c>
      <c r="J30">
        <v>19.98</v>
      </c>
      <c r="K30" t="s">
        <v>53</v>
      </c>
      <c r="L30">
        <v>12</v>
      </c>
      <c r="M30">
        <f>(Analysis[[#This Row],[delivery_time]]-Analysis[[#This Row],[pickup_time]])*24</f>
        <v>17.000000000058208</v>
      </c>
      <c r="N30">
        <f>(Analysis[[#This Row],[delivery_time]]-Analysis[[#This Row],[accept_time]])*24</f>
        <v>18.400000000081491</v>
      </c>
      <c r="O30">
        <f>(Analysis[[#This Row],[pickup_time]]-Analysis[[#This Row],[accept_time]])*24</f>
        <v>1.4000000000232831</v>
      </c>
      <c r="P30" t="str">
        <f>IF(Analysis[[#This Row],[Total_Delivery_Hours]]&gt;Analysis[[#This Row],[sla_delivery_hrs]], "Breach", "OK")</f>
        <v>Breach</v>
      </c>
      <c r="Q30">
        <f>IF(Analysis[[#This Row],[delay_reason]]="None", 0,1)</f>
        <v>0</v>
      </c>
    </row>
    <row r="31" spans="1:17" x14ac:dyDescent="0.25">
      <c r="A31" t="s">
        <v>82</v>
      </c>
      <c r="B31" t="s">
        <v>52</v>
      </c>
      <c r="C31" t="s">
        <v>45</v>
      </c>
      <c r="D31" t="s">
        <v>46</v>
      </c>
      <c r="E31" t="s">
        <v>68</v>
      </c>
      <c r="F31">
        <v>699</v>
      </c>
      <c r="G31" s="1">
        <v>45444.50277777778</v>
      </c>
      <c r="H31" s="1">
        <v>45444.571527777778</v>
      </c>
      <c r="I31" s="1">
        <v>45444.779861111114</v>
      </c>
      <c r="J31">
        <v>20.52</v>
      </c>
      <c r="K31" t="s">
        <v>30</v>
      </c>
      <c r="L31">
        <v>12</v>
      </c>
      <c r="M31">
        <f>(Analysis[[#This Row],[delivery_time]]-Analysis[[#This Row],[pickup_time]])*24</f>
        <v>5.0000000000582077</v>
      </c>
      <c r="N31">
        <f>(Analysis[[#This Row],[delivery_time]]-Analysis[[#This Row],[accept_time]])*24</f>
        <v>6.6500000000232831</v>
      </c>
      <c r="O31">
        <f>(Analysis[[#This Row],[pickup_time]]-Analysis[[#This Row],[accept_time]])*24</f>
        <v>1.6499999999650754</v>
      </c>
      <c r="P31" t="str">
        <f>IF(Analysis[[#This Row],[Total_Delivery_Hours]]&gt;Analysis[[#This Row],[sla_delivery_hrs]], "Breach", "OK")</f>
        <v>OK</v>
      </c>
      <c r="Q31">
        <f>IF(Analysis[[#This Row],[delay_reason]]="None", 0,1)</f>
        <v>1</v>
      </c>
    </row>
    <row r="32" spans="1:17" x14ac:dyDescent="0.25">
      <c r="A32" t="s">
        <v>83</v>
      </c>
      <c r="B32" t="s">
        <v>84</v>
      </c>
      <c r="C32" t="s">
        <v>45</v>
      </c>
      <c r="D32" t="s">
        <v>46</v>
      </c>
      <c r="E32" t="s">
        <v>29</v>
      </c>
      <c r="F32">
        <v>399</v>
      </c>
      <c r="G32" s="1">
        <v>45444.557638888888</v>
      </c>
      <c r="H32" s="1">
        <v>45444.581944444442</v>
      </c>
      <c r="I32" s="1">
        <v>45445.331944444442</v>
      </c>
      <c r="J32">
        <v>15.09</v>
      </c>
      <c r="K32" t="s">
        <v>23</v>
      </c>
      <c r="L32">
        <v>12</v>
      </c>
      <c r="M32">
        <f>(Analysis[[#This Row],[delivery_time]]-Analysis[[#This Row],[pickup_time]])*24</f>
        <v>18</v>
      </c>
      <c r="N32">
        <f>(Analysis[[#This Row],[delivery_time]]-Analysis[[#This Row],[accept_time]])*24</f>
        <v>18.583333333313931</v>
      </c>
      <c r="O32">
        <f>(Analysis[[#This Row],[pickup_time]]-Analysis[[#This Row],[accept_time]])*24</f>
        <v>0.58333333331393078</v>
      </c>
      <c r="P32" t="str">
        <f>IF(Analysis[[#This Row],[Total_Delivery_Hours]]&gt;Analysis[[#This Row],[sla_delivery_hrs]], "Breach", "OK")</f>
        <v>Breach</v>
      </c>
      <c r="Q32">
        <f>IF(Analysis[[#This Row],[delay_reason]]="None", 0,1)</f>
        <v>1</v>
      </c>
    </row>
    <row r="33" spans="1:17" x14ac:dyDescent="0.25">
      <c r="A33" t="s">
        <v>85</v>
      </c>
      <c r="B33" t="s">
        <v>62</v>
      </c>
      <c r="C33" t="s">
        <v>20</v>
      </c>
      <c r="D33" t="s">
        <v>21</v>
      </c>
      <c r="E33" t="s">
        <v>22</v>
      </c>
      <c r="F33">
        <v>699</v>
      </c>
      <c r="G33" s="1">
        <v>45444.688888888886</v>
      </c>
      <c r="H33" s="1">
        <v>45444.758333333331</v>
      </c>
      <c r="I33" s="1">
        <v>45445.216666666667</v>
      </c>
      <c r="J33">
        <v>10.73</v>
      </c>
      <c r="K33" t="s">
        <v>53</v>
      </c>
      <c r="L33">
        <v>12</v>
      </c>
      <c r="M33">
        <f>(Analysis[[#This Row],[delivery_time]]-Analysis[[#This Row],[pickup_time]])*24</f>
        <v>11.000000000058208</v>
      </c>
      <c r="N33">
        <f>(Analysis[[#This Row],[delivery_time]]-Analysis[[#This Row],[accept_time]])*24</f>
        <v>12.666666666744277</v>
      </c>
      <c r="O33">
        <f>(Analysis[[#This Row],[pickup_time]]-Analysis[[#This Row],[accept_time]])*24</f>
        <v>1.6666666666860692</v>
      </c>
      <c r="P33" t="str">
        <f>IF(Analysis[[#This Row],[Total_Delivery_Hours]]&gt;Analysis[[#This Row],[sla_delivery_hrs]], "Breach", "OK")</f>
        <v>OK</v>
      </c>
      <c r="Q33">
        <f>IF(Analysis[[#This Row],[delay_reason]]="None", 0,1)</f>
        <v>0</v>
      </c>
    </row>
    <row r="34" spans="1:17" x14ac:dyDescent="0.25">
      <c r="A34" t="s">
        <v>86</v>
      </c>
      <c r="B34" t="s">
        <v>40</v>
      </c>
      <c r="C34" t="s">
        <v>14</v>
      </c>
      <c r="D34" t="s">
        <v>15</v>
      </c>
      <c r="E34" t="s">
        <v>29</v>
      </c>
      <c r="F34">
        <v>1999</v>
      </c>
      <c r="G34" s="1">
        <v>45444.436111111114</v>
      </c>
      <c r="H34" s="1">
        <v>45444.513888888891</v>
      </c>
      <c r="I34" s="1">
        <v>45444.847222222219</v>
      </c>
      <c r="J34">
        <v>22.36</v>
      </c>
      <c r="K34" t="s">
        <v>23</v>
      </c>
      <c r="L34">
        <v>12</v>
      </c>
      <c r="M34">
        <f>(Analysis[[#This Row],[delivery_time]]-Analysis[[#This Row],[pickup_time]])*24</f>
        <v>7.9999999998835847</v>
      </c>
      <c r="N34">
        <f>(Analysis[[#This Row],[delivery_time]]-Analysis[[#This Row],[accept_time]])*24</f>
        <v>9.8666666665230878</v>
      </c>
      <c r="O34">
        <f>(Analysis[[#This Row],[pickup_time]]-Analysis[[#This Row],[accept_time]])*24</f>
        <v>1.8666666666395031</v>
      </c>
      <c r="P34" t="str">
        <f>IF(Analysis[[#This Row],[Total_Delivery_Hours]]&gt;Analysis[[#This Row],[sla_delivery_hrs]], "Breach", "OK")</f>
        <v>OK</v>
      </c>
      <c r="Q34">
        <f>IF(Analysis[[#This Row],[delay_reason]]="None", 0,1)</f>
        <v>1</v>
      </c>
    </row>
    <row r="35" spans="1:17" x14ac:dyDescent="0.25">
      <c r="A35" t="s">
        <v>87</v>
      </c>
      <c r="B35" t="s">
        <v>88</v>
      </c>
      <c r="C35" t="s">
        <v>37</v>
      </c>
      <c r="D35" t="s">
        <v>38</v>
      </c>
      <c r="E35" t="s">
        <v>22</v>
      </c>
      <c r="F35">
        <v>1999</v>
      </c>
      <c r="G35" s="1">
        <v>45444.409722222219</v>
      </c>
      <c r="H35" s="1">
        <v>45444.468055555553</v>
      </c>
      <c r="I35" s="1">
        <v>45444.843055555553</v>
      </c>
      <c r="J35">
        <v>10.119999999999999</v>
      </c>
      <c r="K35" t="s">
        <v>17</v>
      </c>
      <c r="L35">
        <v>12</v>
      </c>
      <c r="M35">
        <f>(Analysis[[#This Row],[delivery_time]]-Analysis[[#This Row],[pickup_time]])*24</f>
        <v>9</v>
      </c>
      <c r="N35">
        <f>(Analysis[[#This Row],[delivery_time]]-Analysis[[#This Row],[accept_time]])*24</f>
        <v>10.400000000023283</v>
      </c>
      <c r="O35">
        <f>(Analysis[[#This Row],[pickup_time]]-Analysis[[#This Row],[accept_time]])*24</f>
        <v>1.4000000000232831</v>
      </c>
      <c r="P35" t="str">
        <f>IF(Analysis[[#This Row],[Total_Delivery_Hours]]&gt;Analysis[[#This Row],[sla_delivery_hrs]], "Breach", "OK")</f>
        <v>OK</v>
      </c>
      <c r="Q35">
        <f>IF(Analysis[[#This Row],[delay_reason]]="None", 0,1)</f>
        <v>1</v>
      </c>
    </row>
    <row r="36" spans="1:17" x14ac:dyDescent="0.25">
      <c r="A36" t="s">
        <v>89</v>
      </c>
      <c r="B36" t="s">
        <v>78</v>
      </c>
      <c r="C36" t="s">
        <v>14</v>
      </c>
      <c r="D36" t="s">
        <v>15</v>
      </c>
      <c r="E36" t="s">
        <v>26</v>
      </c>
      <c r="F36">
        <v>199</v>
      </c>
      <c r="G36" s="1">
        <v>45444.602083333331</v>
      </c>
      <c r="H36" s="1">
        <v>45444.671527777777</v>
      </c>
      <c r="I36" s="1">
        <v>45444.963194444441</v>
      </c>
      <c r="J36">
        <v>16.989999999999998</v>
      </c>
      <c r="K36" t="s">
        <v>30</v>
      </c>
      <c r="L36">
        <v>12</v>
      </c>
      <c r="M36">
        <f>(Analysis[[#This Row],[delivery_time]]-Analysis[[#This Row],[pickup_time]])*24</f>
        <v>6.9999999999417923</v>
      </c>
      <c r="N36">
        <f>(Analysis[[#This Row],[delivery_time]]-Analysis[[#This Row],[accept_time]])*24</f>
        <v>8.6666666666278616</v>
      </c>
      <c r="O36">
        <f>(Analysis[[#This Row],[pickup_time]]-Analysis[[#This Row],[accept_time]])*24</f>
        <v>1.6666666666860692</v>
      </c>
      <c r="P36" t="str">
        <f>IF(Analysis[[#This Row],[Total_Delivery_Hours]]&gt;Analysis[[#This Row],[sla_delivery_hrs]], "Breach", "OK")</f>
        <v>OK</v>
      </c>
      <c r="Q36">
        <f>IF(Analysis[[#This Row],[delay_reason]]="None", 0,1)</f>
        <v>1</v>
      </c>
    </row>
    <row r="37" spans="1:17" x14ac:dyDescent="0.25">
      <c r="A37" t="s">
        <v>90</v>
      </c>
      <c r="B37" t="s">
        <v>28</v>
      </c>
      <c r="C37" t="s">
        <v>41</v>
      </c>
      <c r="D37" t="s">
        <v>42</v>
      </c>
      <c r="E37" t="s">
        <v>26</v>
      </c>
      <c r="F37">
        <v>399</v>
      </c>
      <c r="G37" s="1">
        <v>45444.638194444444</v>
      </c>
      <c r="H37" s="1">
        <v>45444.683333333334</v>
      </c>
      <c r="I37" s="1">
        <v>45445.433333333334</v>
      </c>
      <c r="J37">
        <v>10.61</v>
      </c>
      <c r="K37" t="s">
        <v>30</v>
      </c>
      <c r="L37">
        <v>12</v>
      </c>
      <c r="M37">
        <f>(Analysis[[#This Row],[delivery_time]]-Analysis[[#This Row],[pickup_time]])*24</f>
        <v>18</v>
      </c>
      <c r="N37">
        <f>(Analysis[[#This Row],[delivery_time]]-Analysis[[#This Row],[accept_time]])*24</f>
        <v>19.083333333372138</v>
      </c>
      <c r="O37">
        <f>(Analysis[[#This Row],[pickup_time]]-Analysis[[#This Row],[accept_time]])*24</f>
        <v>1.0833333333721384</v>
      </c>
      <c r="P37" t="str">
        <f>IF(Analysis[[#This Row],[Total_Delivery_Hours]]&gt;Analysis[[#This Row],[sla_delivery_hrs]], "Breach", "OK")</f>
        <v>Breach</v>
      </c>
      <c r="Q37">
        <f>IF(Analysis[[#This Row],[delay_reason]]="None", 0,1)</f>
        <v>1</v>
      </c>
    </row>
    <row r="38" spans="1:17" x14ac:dyDescent="0.25">
      <c r="A38" t="s">
        <v>91</v>
      </c>
      <c r="B38" t="s">
        <v>50</v>
      </c>
      <c r="C38" t="s">
        <v>41</v>
      </c>
      <c r="D38" t="s">
        <v>42</v>
      </c>
      <c r="E38" t="s">
        <v>26</v>
      </c>
      <c r="F38">
        <v>899</v>
      </c>
      <c r="G38" s="1">
        <v>45444.689583333333</v>
      </c>
      <c r="H38" s="1">
        <v>45444.731944444444</v>
      </c>
      <c r="I38" s="1">
        <v>45445.231944444444</v>
      </c>
      <c r="J38">
        <v>22.46</v>
      </c>
      <c r="K38" t="s">
        <v>17</v>
      </c>
      <c r="L38">
        <v>12</v>
      </c>
      <c r="M38">
        <f>(Analysis[[#This Row],[delivery_time]]-Analysis[[#This Row],[pickup_time]])*24</f>
        <v>12</v>
      </c>
      <c r="N38">
        <f>(Analysis[[#This Row],[delivery_time]]-Analysis[[#This Row],[accept_time]])*24</f>
        <v>13.016666666662786</v>
      </c>
      <c r="O38">
        <f>(Analysis[[#This Row],[pickup_time]]-Analysis[[#This Row],[accept_time]])*24</f>
        <v>1.0166666666627862</v>
      </c>
      <c r="P38" t="str">
        <f>IF(Analysis[[#This Row],[Total_Delivery_Hours]]&gt;Analysis[[#This Row],[sla_delivery_hrs]], "Breach", "OK")</f>
        <v>OK</v>
      </c>
      <c r="Q38">
        <f>IF(Analysis[[#This Row],[delay_reason]]="None", 0,1)</f>
        <v>1</v>
      </c>
    </row>
    <row r="39" spans="1:17" x14ac:dyDescent="0.25">
      <c r="A39" t="s">
        <v>92</v>
      </c>
      <c r="B39" t="s">
        <v>55</v>
      </c>
      <c r="C39" t="s">
        <v>41</v>
      </c>
      <c r="D39" t="s">
        <v>42</v>
      </c>
      <c r="E39" t="s">
        <v>26</v>
      </c>
      <c r="F39">
        <v>199</v>
      </c>
      <c r="G39" s="1">
        <v>45444.513194444444</v>
      </c>
      <c r="H39" s="1">
        <v>45444.591666666667</v>
      </c>
      <c r="I39" s="1">
        <v>45445.133333333331</v>
      </c>
      <c r="J39">
        <v>8.1999999999999993</v>
      </c>
      <c r="K39" t="s">
        <v>53</v>
      </c>
      <c r="L39">
        <v>12</v>
      </c>
      <c r="M39">
        <f>(Analysis[[#This Row],[delivery_time]]-Analysis[[#This Row],[pickup_time]])*24</f>
        <v>12.999999999941792</v>
      </c>
      <c r="N39">
        <f>(Analysis[[#This Row],[delivery_time]]-Analysis[[#This Row],[accept_time]])*24</f>
        <v>14.883333333302289</v>
      </c>
      <c r="O39">
        <f>(Analysis[[#This Row],[pickup_time]]-Analysis[[#This Row],[accept_time]])*24</f>
        <v>1.8833333333604969</v>
      </c>
      <c r="P39" t="str">
        <f>IF(Analysis[[#This Row],[Total_Delivery_Hours]]&gt;Analysis[[#This Row],[sla_delivery_hrs]], "Breach", "OK")</f>
        <v>Breach</v>
      </c>
      <c r="Q39">
        <f>IF(Analysis[[#This Row],[delay_reason]]="None", 0,1)</f>
        <v>0</v>
      </c>
    </row>
    <row r="40" spans="1:17" x14ac:dyDescent="0.25">
      <c r="A40" t="s">
        <v>93</v>
      </c>
      <c r="B40" t="s">
        <v>94</v>
      </c>
      <c r="C40" t="s">
        <v>14</v>
      </c>
      <c r="D40" t="s">
        <v>15</v>
      </c>
      <c r="E40" t="s">
        <v>26</v>
      </c>
      <c r="F40">
        <v>1499</v>
      </c>
      <c r="G40" s="1">
        <v>45444.597916666666</v>
      </c>
      <c r="H40" s="1">
        <v>45444.648611111108</v>
      </c>
      <c r="I40" s="1">
        <v>45445.481944444444</v>
      </c>
      <c r="J40">
        <v>14.17</v>
      </c>
      <c r="K40" t="s">
        <v>30</v>
      </c>
      <c r="L40">
        <v>12</v>
      </c>
      <c r="M40">
        <f>(Analysis[[#This Row],[delivery_time]]-Analysis[[#This Row],[pickup_time]])*24</f>
        <v>20.000000000058208</v>
      </c>
      <c r="N40">
        <f>(Analysis[[#This Row],[delivery_time]]-Analysis[[#This Row],[accept_time]])*24</f>
        <v>21.216666666674428</v>
      </c>
      <c r="O40">
        <f>(Analysis[[#This Row],[pickup_time]]-Analysis[[#This Row],[accept_time]])*24</f>
        <v>1.21666666661622</v>
      </c>
      <c r="P40" t="str">
        <f>IF(Analysis[[#This Row],[Total_Delivery_Hours]]&gt;Analysis[[#This Row],[sla_delivery_hrs]], "Breach", "OK")</f>
        <v>Breach</v>
      </c>
      <c r="Q40">
        <f>IF(Analysis[[#This Row],[delay_reason]]="None", 0,1)</f>
        <v>1</v>
      </c>
    </row>
    <row r="41" spans="1:17" x14ac:dyDescent="0.25">
      <c r="A41" t="s">
        <v>95</v>
      </c>
      <c r="B41" t="s">
        <v>96</v>
      </c>
      <c r="C41" t="s">
        <v>41</v>
      </c>
      <c r="D41" t="s">
        <v>42</v>
      </c>
      <c r="E41" t="s">
        <v>26</v>
      </c>
      <c r="F41">
        <v>899</v>
      </c>
      <c r="G41" s="1">
        <v>45444.556250000001</v>
      </c>
      <c r="H41" s="1">
        <v>45444.62222222222</v>
      </c>
      <c r="I41" s="1">
        <v>45445.038888888892</v>
      </c>
      <c r="J41">
        <v>19.309999999999999</v>
      </c>
      <c r="K41" t="s">
        <v>23</v>
      </c>
      <c r="L41">
        <v>12</v>
      </c>
      <c r="M41">
        <f>(Analysis[[#This Row],[delivery_time]]-Analysis[[#This Row],[pickup_time]])*24</f>
        <v>10.000000000116415</v>
      </c>
      <c r="N41">
        <f>(Analysis[[#This Row],[delivery_time]]-Analysis[[#This Row],[accept_time]])*24</f>
        <v>11.583333333372138</v>
      </c>
      <c r="O41">
        <f>(Analysis[[#This Row],[pickup_time]]-Analysis[[#This Row],[accept_time]])*24</f>
        <v>1.5833333332557231</v>
      </c>
      <c r="P41" t="str">
        <f>IF(Analysis[[#This Row],[Total_Delivery_Hours]]&gt;Analysis[[#This Row],[sla_delivery_hrs]], "Breach", "OK")</f>
        <v>OK</v>
      </c>
      <c r="Q41">
        <f>IF(Analysis[[#This Row],[delay_reason]]="None", 0,1)</f>
        <v>1</v>
      </c>
    </row>
    <row r="42" spans="1:17" x14ac:dyDescent="0.25">
      <c r="A42" t="s">
        <v>97</v>
      </c>
      <c r="B42" t="s">
        <v>48</v>
      </c>
      <c r="C42" t="s">
        <v>20</v>
      </c>
      <c r="D42" t="s">
        <v>21</v>
      </c>
      <c r="E42" t="s">
        <v>68</v>
      </c>
      <c r="F42">
        <v>899</v>
      </c>
      <c r="G42" s="1">
        <v>45444.529166666667</v>
      </c>
      <c r="H42" s="1">
        <v>45444.597222222219</v>
      </c>
      <c r="I42" s="1">
        <v>45444.763888888891</v>
      </c>
      <c r="J42">
        <v>21.57</v>
      </c>
      <c r="K42" t="s">
        <v>23</v>
      </c>
      <c r="L42">
        <v>12</v>
      </c>
      <c r="M42">
        <f>(Analysis[[#This Row],[delivery_time]]-Analysis[[#This Row],[pickup_time]])*24</f>
        <v>4.0000000001164153</v>
      </c>
      <c r="N42">
        <f>(Analysis[[#This Row],[delivery_time]]-Analysis[[#This Row],[accept_time]])*24</f>
        <v>5.6333333333604969</v>
      </c>
      <c r="O42">
        <f>(Analysis[[#This Row],[pickup_time]]-Analysis[[#This Row],[accept_time]])*24</f>
        <v>1.6333333332440816</v>
      </c>
      <c r="P42" t="str">
        <f>IF(Analysis[[#This Row],[Total_Delivery_Hours]]&gt;Analysis[[#This Row],[sla_delivery_hrs]], "Breach", "OK")</f>
        <v>OK</v>
      </c>
      <c r="Q42">
        <f>IF(Analysis[[#This Row],[delay_reason]]="None", 0,1)</f>
        <v>1</v>
      </c>
    </row>
    <row r="43" spans="1:17" x14ac:dyDescent="0.25">
      <c r="A43" t="s">
        <v>98</v>
      </c>
      <c r="B43" t="s">
        <v>99</v>
      </c>
      <c r="C43" t="s">
        <v>41</v>
      </c>
      <c r="D43" t="s">
        <v>42</v>
      </c>
      <c r="E43" t="s">
        <v>34</v>
      </c>
      <c r="F43">
        <v>1499</v>
      </c>
      <c r="G43" s="1">
        <v>45444.690972222219</v>
      </c>
      <c r="H43" s="1">
        <v>45444.727777777778</v>
      </c>
      <c r="I43" s="1">
        <v>45444.936111111114</v>
      </c>
      <c r="J43">
        <v>22.52</v>
      </c>
      <c r="K43" t="s">
        <v>53</v>
      </c>
      <c r="L43">
        <v>12</v>
      </c>
      <c r="M43">
        <f>(Analysis[[#This Row],[delivery_time]]-Analysis[[#This Row],[pickup_time]])*24</f>
        <v>5.0000000000582077</v>
      </c>
      <c r="N43">
        <f>(Analysis[[#This Row],[delivery_time]]-Analysis[[#This Row],[accept_time]])*24</f>
        <v>5.8833333334769122</v>
      </c>
      <c r="O43">
        <f>(Analysis[[#This Row],[pickup_time]]-Analysis[[#This Row],[accept_time]])*24</f>
        <v>0.88333333341870457</v>
      </c>
      <c r="P43" t="str">
        <f>IF(Analysis[[#This Row],[Total_Delivery_Hours]]&gt;Analysis[[#This Row],[sla_delivery_hrs]], "Breach", "OK")</f>
        <v>OK</v>
      </c>
      <c r="Q43">
        <f>IF(Analysis[[#This Row],[delay_reason]]="None", 0,1)</f>
        <v>0</v>
      </c>
    </row>
    <row r="44" spans="1:17" x14ac:dyDescent="0.25">
      <c r="A44" t="s">
        <v>100</v>
      </c>
      <c r="B44" t="s">
        <v>57</v>
      </c>
      <c r="C44" t="s">
        <v>20</v>
      </c>
      <c r="D44" t="s">
        <v>21</v>
      </c>
      <c r="E44" t="s">
        <v>68</v>
      </c>
      <c r="F44">
        <v>1499</v>
      </c>
      <c r="G44" s="1">
        <v>45444.724305555559</v>
      </c>
      <c r="H44" s="1">
        <v>45444.790972222225</v>
      </c>
      <c r="I44" s="1">
        <v>45445.540972222225</v>
      </c>
      <c r="J44">
        <v>20.81</v>
      </c>
      <c r="K44" t="s">
        <v>53</v>
      </c>
      <c r="L44">
        <v>12</v>
      </c>
      <c r="M44">
        <f>(Analysis[[#This Row],[delivery_time]]-Analysis[[#This Row],[pickup_time]])*24</f>
        <v>18</v>
      </c>
      <c r="N44">
        <f>(Analysis[[#This Row],[delivery_time]]-Analysis[[#This Row],[accept_time]])*24</f>
        <v>19.599999999976717</v>
      </c>
      <c r="O44">
        <f>(Analysis[[#This Row],[pickup_time]]-Analysis[[#This Row],[accept_time]])*24</f>
        <v>1.5999999999767169</v>
      </c>
      <c r="P44" t="str">
        <f>IF(Analysis[[#This Row],[Total_Delivery_Hours]]&gt;Analysis[[#This Row],[sla_delivery_hrs]], "Breach", "OK")</f>
        <v>Breach</v>
      </c>
      <c r="Q44">
        <f>IF(Analysis[[#This Row],[delay_reason]]="None", 0,1)</f>
        <v>0</v>
      </c>
    </row>
    <row r="45" spans="1:17" x14ac:dyDescent="0.25">
      <c r="A45" t="s">
        <v>101</v>
      </c>
      <c r="B45" t="s">
        <v>102</v>
      </c>
      <c r="C45" t="s">
        <v>45</v>
      </c>
      <c r="D45" t="s">
        <v>46</v>
      </c>
      <c r="E45" t="s">
        <v>29</v>
      </c>
      <c r="F45">
        <v>199</v>
      </c>
      <c r="G45" s="1">
        <v>45444.593055555553</v>
      </c>
      <c r="H45" s="1">
        <v>45444.620833333334</v>
      </c>
      <c r="I45" s="1">
        <v>45445.162499999999</v>
      </c>
      <c r="J45">
        <v>21.87</v>
      </c>
      <c r="K45" t="s">
        <v>23</v>
      </c>
      <c r="L45">
        <v>12</v>
      </c>
      <c r="M45">
        <f>(Analysis[[#This Row],[delivery_time]]-Analysis[[#This Row],[pickup_time]])*24</f>
        <v>12.999999999941792</v>
      </c>
      <c r="N45">
        <f>(Analysis[[#This Row],[delivery_time]]-Analysis[[#This Row],[accept_time]])*24</f>
        <v>13.666666666686069</v>
      </c>
      <c r="O45">
        <f>(Analysis[[#This Row],[pickup_time]]-Analysis[[#This Row],[accept_time]])*24</f>
        <v>0.66666666674427688</v>
      </c>
      <c r="P45" t="str">
        <f>IF(Analysis[[#This Row],[Total_Delivery_Hours]]&gt;Analysis[[#This Row],[sla_delivery_hrs]], "Breach", "OK")</f>
        <v>Breach</v>
      </c>
      <c r="Q45">
        <f>IF(Analysis[[#This Row],[delay_reason]]="None", 0,1)</f>
        <v>1</v>
      </c>
    </row>
    <row r="46" spans="1:17" x14ac:dyDescent="0.25">
      <c r="A46" t="s">
        <v>103</v>
      </c>
      <c r="B46" t="s">
        <v>104</v>
      </c>
      <c r="C46" t="s">
        <v>20</v>
      </c>
      <c r="D46" t="s">
        <v>21</v>
      </c>
      <c r="E46" t="s">
        <v>26</v>
      </c>
      <c r="F46">
        <v>399</v>
      </c>
      <c r="G46" s="1">
        <v>45444.688888888886</v>
      </c>
      <c r="H46" s="1">
        <v>45444.75</v>
      </c>
      <c r="I46" s="1">
        <v>45445.166666666664</v>
      </c>
      <c r="J46">
        <v>24.78</v>
      </c>
      <c r="K46" t="s">
        <v>17</v>
      </c>
      <c r="L46">
        <v>12</v>
      </c>
      <c r="M46">
        <f>(Analysis[[#This Row],[delivery_time]]-Analysis[[#This Row],[pickup_time]])*24</f>
        <v>9.9999999999417923</v>
      </c>
      <c r="N46">
        <f>(Analysis[[#This Row],[delivery_time]]-Analysis[[#This Row],[accept_time]])*24</f>
        <v>11.466666666674428</v>
      </c>
      <c r="O46">
        <f>(Analysis[[#This Row],[pickup_time]]-Analysis[[#This Row],[accept_time]])*24</f>
        <v>1.4666666667326353</v>
      </c>
      <c r="P46" t="str">
        <f>IF(Analysis[[#This Row],[Total_Delivery_Hours]]&gt;Analysis[[#This Row],[sla_delivery_hrs]], "Breach", "OK")</f>
        <v>OK</v>
      </c>
      <c r="Q46">
        <f>IF(Analysis[[#This Row],[delay_reason]]="None", 0,1)</f>
        <v>1</v>
      </c>
    </row>
    <row r="47" spans="1:17" x14ac:dyDescent="0.25">
      <c r="A47" t="s">
        <v>105</v>
      </c>
      <c r="B47" t="s">
        <v>84</v>
      </c>
      <c r="C47" t="s">
        <v>14</v>
      </c>
      <c r="D47" t="s">
        <v>15</v>
      </c>
      <c r="E47" t="s">
        <v>16</v>
      </c>
      <c r="F47">
        <v>2499</v>
      </c>
      <c r="G47" s="1">
        <v>45444.775694444441</v>
      </c>
      <c r="H47" s="1">
        <v>45444.821527777778</v>
      </c>
      <c r="I47" s="1">
        <v>45445.613194444442</v>
      </c>
      <c r="J47">
        <v>18.079999999999998</v>
      </c>
      <c r="K47" t="s">
        <v>17</v>
      </c>
      <c r="L47">
        <v>12</v>
      </c>
      <c r="M47">
        <f>(Analysis[[#This Row],[delivery_time]]-Analysis[[#This Row],[pickup_time]])*24</f>
        <v>18.999999999941792</v>
      </c>
      <c r="N47">
        <f>(Analysis[[#This Row],[delivery_time]]-Analysis[[#This Row],[accept_time]])*24</f>
        <v>20.100000000034925</v>
      </c>
      <c r="O47">
        <f>(Analysis[[#This Row],[pickup_time]]-Analysis[[#This Row],[accept_time]])*24</f>
        <v>1.1000000000931323</v>
      </c>
      <c r="P47" t="str">
        <f>IF(Analysis[[#This Row],[Total_Delivery_Hours]]&gt;Analysis[[#This Row],[sla_delivery_hrs]], "Breach", "OK")</f>
        <v>Breach</v>
      </c>
      <c r="Q47">
        <f>IF(Analysis[[#This Row],[delay_reason]]="None", 0,1)</f>
        <v>1</v>
      </c>
    </row>
    <row r="48" spans="1:17" x14ac:dyDescent="0.25">
      <c r="A48" t="s">
        <v>106</v>
      </c>
      <c r="B48" t="s">
        <v>107</v>
      </c>
      <c r="C48" t="s">
        <v>20</v>
      </c>
      <c r="D48" t="s">
        <v>21</v>
      </c>
      <c r="E48" t="s">
        <v>22</v>
      </c>
      <c r="F48">
        <v>2499</v>
      </c>
      <c r="G48" s="1">
        <v>45444.62222222222</v>
      </c>
      <c r="H48" s="1">
        <v>45444.650694444441</v>
      </c>
      <c r="I48" s="1">
        <v>45445.400694444441</v>
      </c>
      <c r="J48">
        <v>13.01</v>
      </c>
      <c r="K48" t="s">
        <v>53</v>
      </c>
      <c r="L48">
        <v>12</v>
      </c>
      <c r="M48">
        <f>(Analysis[[#This Row],[delivery_time]]-Analysis[[#This Row],[pickup_time]])*24</f>
        <v>18</v>
      </c>
      <c r="N48">
        <f>(Analysis[[#This Row],[delivery_time]]-Analysis[[#This Row],[accept_time]])*24</f>
        <v>18.683333333290648</v>
      </c>
      <c r="O48">
        <f>(Analysis[[#This Row],[pickup_time]]-Analysis[[#This Row],[accept_time]])*24</f>
        <v>0.68333333329064772</v>
      </c>
      <c r="P48" t="str">
        <f>IF(Analysis[[#This Row],[Total_Delivery_Hours]]&gt;Analysis[[#This Row],[sla_delivery_hrs]], "Breach", "OK")</f>
        <v>Breach</v>
      </c>
      <c r="Q48">
        <f>IF(Analysis[[#This Row],[delay_reason]]="None", 0,1)</f>
        <v>0</v>
      </c>
    </row>
    <row r="49" spans="1:17" x14ac:dyDescent="0.25">
      <c r="A49" t="s">
        <v>108</v>
      </c>
      <c r="B49" t="s">
        <v>52</v>
      </c>
      <c r="C49" t="s">
        <v>41</v>
      </c>
      <c r="D49" t="s">
        <v>42</v>
      </c>
      <c r="E49" t="s">
        <v>34</v>
      </c>
      <c r="F49">
        <v>399</v>
      </c>
      <c r="G49" s="1">
        <v>45444.526388888888</v>
      </c>
      <c r="H49" s="1">
        <v>45444.54583333333</v>
      </c>
      <c r="I49" s="1">
        <v>45445.087500000001</v>
      </c>
      <c r="J49">
        <v>16.22</v>
      </c>
      <c r="K49" t="s">
        <v>17</v>
      </c>
      <c r="L49">
        <v>12</v>
      </c>
      <c r="M49">
        <f>(Analysis[[#This Row],[delivery_time]]-Analysis[[#This Row],[pickup_time]])*24</f>
        <v>13.000000000116415</v>
      </c>
      <c r="N49">
        <f>(Analysis[[#This Row],[delivery_time]]-Analysis[[#This Row],[accept_time]])*24</f>
        <v>13.466666666732635</v>
      </c>
      <c r="O49">
        <f>(Analysis[[#This Row],[pickup_time]]-Analysis[[#This Row],[accept_time]])*24</f>
        <v>0.46666666661622003</v>
      </c>
      <c r="P49" t="str">
        <f>IF(Analysis[[#This Row],[Total_Delivery_Hours]]&gt;Analysis[[#This Row],[sla_delivery_hrs]], "Breach", "OK")</f>
        <v>Breach</v>
      </c>
      <c r="Q49">
        <f>IF(Analysis[[#This Row],[delay_reason]]="None", 0,1)</f>
        <v>1</v>
      </c>
    </row>
    <row r="50" spans="1:17" x14ac:dyDescent="0.25">
      <c r="A50" t="s">
        <v>109</v>
      </c>
      <c r="B50" t="s">
        <v>40</v>
      </c>
      <c r="C50" t="s">
        <v>41</v>
      </c>
      <c r="D50" t="s">
        <v>42</v>
      </c>
      <c r="E50" t="s">
        <v>29</v>
      </c>
      <c r="F50">
        <v>699</v>
      </c>
      <c r="G50" s="1">
        <v>45444.604166666664</v>
      </c>
      <c r="H50" s="1">
        <v>45444.669444444444</v>
      </c>
      <c r="I50" s="1">
        <v>45445.419444444444</v>
      </c>
      <c r="J50">
        <v>20.8</v>
      </c>
      <c r="K50" t="s">
        <v>17</v>
      </c>
      <c r="L50">
        <v>12</v>
      </c>
      <c r="M50">
        <f>(Analysis[[#This Row],[delivery_time]]-Analysis[[#This Row],[pickup_time]])*24</f>
        <v>18</v>
      </c>
      <c r="N50">
        <f>(Analysis[[#This Row],[delivery_time]]-Analysis[[#This Row],[accept_time]])*24</f>
        <v>19.566666666709352</v>
      </c>
      <c r="O50">
        <f>(Analysis[[#This Row],[pickup_time]]-Analysis[[#This Row],[accept_time]])*24</f>
        <v>1.5666666667093523</v>
      </c>
      <c r="P50" t="str">
        <f>IF(Analysis[[#This Row],[Total_Delivery_Hours]]&gt;Analysis[[#This Row],[sla_delivery_hrs]], "Breach", "OK")</f>
        <v>Breach</v>
      </c>
      <c r="Q50">
        <f>IF(Analysis[[#This Row],[delay_reason]]="None", 0,1)</f>
        <v>1</v>
      </c>
    </row>
    <row r="51" spans="1:17" x14ac:dyDescent="0.25">
      <c r="A51" t="s">
        <v>110</v>
      </c>
      <c r="B51" t="s">
        <v>70</v>
      </c>
      <c r="C51" t="s">
        <v>45</v>
      </c>
      <c r="D51" t="s">
        <v>46</v>
      </c>
      <c r="E51" t="s">
        <v>22</v>
      </c>
      <c r="F51">
        <v>1299</v>
      </c>
      <c r="G51" s="1">
        <v>45444.743750000001</v>
      </c>
      <c r="H51" s="1">
        <v>45444.818055555559</v>
      </c>
      <c r="I51" s="1">
        <v>45445.484722222223</v>
      </c>
      <c r="J51">
        <v>8.98</v>
      </c>
      <c r="K51" t="s">
        <v>23</v>
      </c>
      <c r="L51">
        <v>12</v>
      </c>
      <c r="M51">
        <f>(Analysis[[#This Row],[delivery_time]]-Analysis[[#This Row],[pickup_time]])*24</f>
        <v>15.999999999941792</v>
      </c>
      <c r="N51">
        <f>(Analysis[[#This Row],[delivery_time]]-Analysis[[#This Row],[accept_time]])*24</f>
        <v>17.783333333325572</v>
      </c>
      <c r="O51">
        <f>(Analysis[[#This Row],[pickup_time]]-Analysis[[#This Row],[accept_time]])*24</f>
        <v>1.78333333338378</v>
      </c>
      <c r="P51" t="str">
        <f>IF(Analysis[[#This Row],[Total_Delivery_Hours]]&gt;Analysis[[#This Row],[sla_delivery_hrs]], "Breach", "OK")</f>
        <v>Breach</v>
      </c>
      <c r="Q51">
        <f>IF(Analysis[[#This Row],[delay_reason]]="None", 0,1)</f>
        <v>1</v>
      </c>
    </row>
    <row r="52" spans="1:17" x14ac:dyDescent="0.25">
      <c r="A52" t="s">
        <v>111</v>
      </c>
      <c r="B52" t="s">
        <v>84</v>
      </c>
      <c r="C52" t="s">
        <v>20</v>
      </c>
      <c r="D52" t="s">
        <v>21</v>
      </c>
      <c r="E52" t="s">
        <v>26</v>
      </c>
      <c r="F52">
        <v>2499</v>
      </c>
      <c r="G52" s="1">
        <v>45444.652083333334</v>
      </c>
      <c r="H52" s="1">
        <v>45444.677777777775</v>
      </c>
      <c r="I52" s="1">
        <v>45444.927777777775</v>
      </c>
      <c r="J52">
        <v>11.03</v>
      </c>
      <c r="K52" t="s">
        <v>17</v>
      </c>
      <c r="L52">
        <v>12</v>
      </c>
      <c r="M52">
        <f>(Analysis[[#This Row],[delivery_time]]-Analysis[[#This Row],[pickup_time]])*24</f>
        <v>6</v>
      </c>
      <c r="N52">
        <f>(Analysis[[#This Row],[delivery_time]]-Analysis[[#This Row],[accept_time]])*24</f>
        <v>6.6166666665812954</v>
      </c>
      <c r="O52">
        <f>(Analysis[[#This Row],[pickup_time]]-Analysis[[#This Row],[accept_time]])*24</f>
        <v>0.61666666658129543</v>
      </c>
      <c r="P52" t="str">
        <f>IF(Analysis[[#This Row],[Total_Delivery_Hours]]&gt;Analysis[[#This Row],[sla_delivery_hrs]], "Breach", "OK")</f>
        <v>OK</v>
      </c>
      <c r="Q52">
        <f>IF(Analysis[[#This Row],[delay_reason]]="None", 0,1)</f>
        <v>1</v>
      </c>
    </row>
    <row r="53" spans="1:17" x14ac:dyDescent="0.25">
      <c r="A53" t="s">
        <v>112</v>
      </c>
      <c r="B53" t="s">
        <v>94</v>
      </c>
      <c r="C53" t="s">
        <v>41</v>
      </c>
      <c r="D53" t="s">
        <v>42</v>
      </c>
      <c r="E53" t="s">
        <v>26</v>
      </c>
      <c r="F53">
        <v>199</v>
      </c>
      <c r="G53" s="1">
        <v>45444.452777777777</v>
      </c>
      <c r="H53" s="1">
        <v>45444.522222222222</v>
      </c>
      <c r="I53" s="1">
        <v>45444.688888888886</v>
      </c>
      <c r="J53">
        <v>15.42</v>
      </c>
      <c r="K53" t="s">
        <v>53</v>
      </c>
      <c r="L53">
        <v>12</v>
      </c>
      <c r="M53">
        <f>(Analysis[[#This Row],[delivery_time]]-Analysis[[#This Row],[pickup_time]])*24</f>
        <v>3.9999999999417923</v>
      </c>
      <c r="N53">
        <f>(Analysis[[#This Row],[delivery_time]]-Analysis[[#This Row],[accept_time]])*24</f>
        <v>5.6666666666278616</v>
      </c>
      <c r="O53">
        <f>(Analysis[[#This Row],[pickup_time]]-Analysis[[#This Row],[accept_time]])*24</f>
        <v>1.6666666666860692</v>
      </c>
      <c r="P53" t="str">
        <f>IF(Analysis[[#This Row],[Total_Delivery_Hours]]&gt;Analysis[[#This Row],[sla_delivery_hrs]], "Breach", "OK")</f>
        <v>OK</v>
      </c>
      <c r="Q53">
        <f>IF(Analysis[[#This Row],[delay_reason]]="None", 0,1)</f>
        <v>0</v>
      </c>
    </row>
    <row r="54" spans="1:17" x14ac:dyDescent="0.25">
      <c r="A54" t="s">
        <v>113</v>
      </c>
      <c r="B54" t="s">
        <v>114</v>
      </c>
      <c r="C54" t="s">
        <v>14</v>
      </c>
      <c r="D54" t="s">
        <v>15</v>
      </c>
      <c r="E54" t="s">
        <v>68</v>
      </c>
      <c r="F54">
        <v>1999</v>
      </c>
      <c r="G54" s="1">
        <v>45444.419444444444</v>
      </c>
      <c r="H54" s="1">
        <v>45444.440972222219</v>
      </c>
      <c r="I54" s="1">
        <v>45444.732638888891</v>
      </c>
      <c r="J54">
        <v>18.77</v>
      </c>
      <c r="K54" t="s">
        <v>17</v>
      </c>
      <c r="L54">
        <v>12</v>
      </c>
      <c r="M54">
        <f>(Analysis[[#This Row],[delivery_time]]-Analysis[[#This Row],[pickup_time]])*24</f>
        <v>7.0000000001164153</v>
      </c>
      <c r="N54">
        <f>(Analysis[[#This Row],[delivery_time]]-Analysis[[#This Row],[accept_time]])*24</f>
        <v>7.5166666667209938</v>
      </c>
      <c r="O54">
        <f>(Analysis[[#This Row],[pickup_time]]-Analysis[[#This Row],[accept_time]])*24</f>
        <v>0.5166666666045785</v>
      </c>
      <c r="P54" t="str">
        <f>IF(Analysis[[#This Row],[Total_Delivery_Hours]]&gt;Analysis[[#This Row],[sla_delivery_hrs]], "Breach", "OK")</f>
        <v>OK</v>
      </c>
      <c r="Q54">
        <f>IF(Analysis[[#This Row],[delay_reason]]="None", 0,1)</f>
        <v>1</v>
      </c>
    </row>
    <row r="55" spans="1:17" x14ac:dyDescent="0.25">
      <c r="A55" t="s">
        <v>115</v>
      </c>
      <c r="B55" t="s">
        <v>72</v>
      </c>
      <c r="C55" t="s">
        <v>45</v>
      </c>
      <c r="D55" t="s">
        <v>46</v>
      </c>
      <c r="E55" t="s">
        <v>22</v>
      </c>
      <c r="F55">
        <v>1499</v>
      </c>
      <c r="G55" s="1">
        <v>45444.563888888886</v>
      </c>
      <c r="H55" s="1">
        <v>45444.625694444447</v>
      </c>
      <c r="I55" s="1">
        <v>45444.917361111111</v>
      </c>
      <c r="J55">
        <v>24.14</v>
      </c>
      <c r="K55" t="s">
        <v>53</v>
      </c>
      <c r="L55">
        <v>12</v>
      </c>
      <c r="M55">
        <f>(Analysis[[#This Row],[delivery_time]]-Analysis[[#This Row],[pickup_time]])*24</f>
        <v>6.9999999999417923</v>
      </c>
      <c r="N55">
        <f>(Analysis[[#This Row],[delivery_time]]-Analysis[[#This Row],[accept_time]])*24</f>
        <v>8.4833333333954215</v>
      </c>
      <c r="O55">
        <f>(Analysis[[#This Row],[pickup_time]]-Analysis[[#This Row],[accept_time]])*24</f>
        <v>1.4833333334536292</v>
      </c>
      <c r="P55" t="str">
        <f>IF(Analysis[[#This Row],[Total_Delivery_Hours]]&gt;Analysis[[#This Row],[sla_delivery_hrs]], "Breach", "OK")</f>
        <v>OK</v>
      </c>
      <c r="Q55">
        <f>IF(Analysis[[#This Row],[delay_reason]]="None", 0,1)</f>
        <v>0</v>
      </c>
    </row>
    <row r="56" spans="1:17" x14ac:dyDescent="0.25">
      <c r="A56" t="s">
        <v>116</v>
      </c>
      <c r="B56" t="s">
        <v>44</v>
      </c>
      <c r="C56" t="s">
        <v>45</v>
      </c>
      <c r="D56" t="s">
        <v>46</v>
      </c>
      <c r="E56" t="s">
        <v>22</v>
      </c>
      <c r="F56">
        <v>1299</v>
      </c>
      <c r="G56" s="1">
        <v>45444.643750000003</v>
      </c>
      <c r="H56" s="1">
        <v>45444.693749999999</v>
      </c>
      <c r="I56" s="1">
        <v>45445.152083333334</v>
      </c>
      <c r="J56">
        <v>9.61</v>
      </c>
      <c r="K56" t="s">
        <v>23</v>
      </c>
      <c r="L56">
        <v>12</v>
      </c>
      <c r="M56">
        <f>(Analysis[[#This Row],[delivery_time]]-Analysis[[#This Row],[pickup_time]])*24</f>
        <v>11.000000000058208</v>
      </c>
      <c r="N56">
        <f>(Analysis[[#This Row],[delivery_time]]-Analysis[[#This Row],[accept_time]])*24</f>
        <v>12.199999999953434</v>
      </c>
      <c r="O56">
        <f>(Analysis[[#This Row],[pickup_time]]-Analysis[[#This Row],[accept_time]])*24</f>
        <v>1.1999999998952262</v>
      </c>
      <c r="P56" t="str">
        <f>IF(Analysis[[#This Row],[Total_Delivery_Hours]]&gt;Analysis[[#This Row],[sla_delivery_hrs]], "Breach", "OK")</f>
        <v>OK</v>
      </c>
      <c r="Q56">
        <f>IF(Analysis[[#This Row],[delay_reason]]="None", 0,1)</f>
        <v>1</v>
      </c>
    </row>
    <row r="57" spans="1:17" x14ac:dyDescent="0.25">
      <c r="A57" t="s">
        <v>117</v>
      </c>
      <c r="B57" t="s">
        <v>81</v>
      </c>
      <c r="C57" t="s">
        <v>41</v>
      </c>
      <c r="D57" t="s">
        <v>42</v>
      </c>
      <c r="E57" t="s">
        <v>26</v>
      </c>
      <c r="F57">
        <v>2499</v>
      </c>
      <c r="G57" s="1">
        <v>45444.445138888892</v>
      </c>
      <c r="H57" s="1">
        <v>45444.505555555559</v>
      </c>
      <c r="I57" s="1">
        <v>45445.172222222223</v>
      </c>
      <c r="J57">
        <v>11.13</v>
      </c>
      <c r="K57" t="s">
        <v>23</v>
      </c>
      <c r="L57">
        <v>12</v>
      </c>
      <c r="M57">
        <f>(Analysis[[#This Row],[delivery_time]]-Analysis[[#This Row],[pickup_time]])*24</f>
        <v>15.999999999941792</v>
      </c>
      <c r="N57">
        <f>(Analysis[[#This Row],[delivery_time]]-Analysis[[#This Row],[accept_time]])*24</f>
        <v>17.449999999953434</v>
      </c>
      <c r="O57">
        <f>(Analysis[[#This Row],[pickup_time]]-Analysis[[#This Row],[accept_time]])*24</f>
        <v>1.4500000000116415</v>
      </c>
      <c r="P57" t="str">
        <f>IF(Analysis[[#This Row],[Total_Delivery_Hours]]&gt;Analysis[[#This Row],[sla_delivery_hrs]], "Breach", "OK")</f>
        <v>Breach</v>
      </c>
      <c r="Q57">
        <f>IF(Analysis[[#This Row],[delay_reason]]="None", 0,1)</f>
        <v>1</v>
      </c>
    </row>
    <row r="58" spans="1:17" x14ac:dyDescent="0.25">
      <c r="A58" t="s">
        <v>118</v>
      </c>
      <c r="B58" t="s">
        <v>44</v>
      </c>
      <c r="C58" t="s">
        <v>20</v>
      </c>
      <c r="D58" t="s">
        <v>21</v>
      </c>
      <c r="E58" t="s">
        <v>34</v>
      </c>
      <c r="F58">
        <v>1499</v>
      </c>
      <c r="G58" s="1">
        <v>45444.509027777778</v>
      </c>
      <c r="H58" s="1">
        <v>45444.584722222222</v>
      </c>
      <c r="I58" s="1">
        <v>45445.418055555558</v>
      </c>
      <c r="J58">
        <v>7.39</v>
      </c>
      <c r="K58" t="s">
        <v>17</v>
      </c>
      <c r="L58">
        <v>12</v>
      </c>
      <c r="M58">
        <f>(Analysis[[#This Row],[delivery_time]]-Analysis[[#This Row],[pickup_time]])*24</f>
        <v>20.000000000058208</v>
      </c>
      <c r="N58">
        <f>(Analysis[[#This Row],[delivery_time]]-Analysis[[#This Row],[accept_time]])*24</f>
        <v>21.816666666709352</v>
      </c>
      <c r="O58">
        <f>(Analysis[[#This Row],[pickup_time]]-Analysis[[#This Row],[accept_time]])*24</f>
        <v>1.8166666666511446</v>
      </c>
      <c r="P58" t="str">
        <f>IF(Analysis[[#This Row],[Total_Delivery_Hours]]&gt;Analysis[[#This Row],[sla_delivery_hrs]], "Breach", "OK")</f>
        <v>Breach</v>
      </c>
      <c r="Q58">
        <f>IF(Analysis[[#This Row],[delay_reason]]="None", 0,1)</f>
        <v>1</v>
      </c>
    </row>
    <row r="59" spans="1:17" x14ac:dyDescent="0.25">
      <c r="A59" t="s">
        <v>119</v>
      </c>
      <c r="B59" t="s">
        <v>94</v>
      </c>
      <c r="C59" t="s">
        <v>41</v>
      </c>
      <c r="D59" t="s">
        <v>42</v>
      </c>
      <c r="E59" t="s">
        <v>29</v>
      </c>
      <c r="F59">
        <v>1499</v>
      </c>
      <c r="G59" s="1">
        <v>45444.518750000003</v>
      </c>
      <c r="H59" s="1">
        <v>45444.546527777777</v>
      </c>
      <c r="I59" s="1">
        <v>45444.754861111112</v>
      </c>
      <c r="J59">
        <v>22.66</v>
      </c>
      <c r="K59" t="s">
        <v>17</v>
      </c>
      <c r="L59">
        <v>12</v>
      </c>
      <c r="M59">
        <f>(Analysis[[#This Row],[delivery_time]]-Analysis[[#This Row],[pickup_time]])*24</f>
        <v>5.0000000000582077</v>
      </c>
      <c r="N59">
        <f>(Analysis[[#This Row],[delivery_time]]-Analysis[[#This Row],[accept_time]])*24</f>
        <v>5.6666666666278616</v>
      </c>
      <c r="O59">
        <f>(Analysis[[#This Row],[pickup_time]]-Analysis[[#This Row],[accept_time]])*24</f>
        <v>0.6666666665696539</v>
      </c>
      <c r="P59" t="str">
        <f>IF(Analysis[[#This Row],[Total_Delivery_Hours]]&gt;Analysis[[#This Row],[sla_delivery_hrs]], "Breach", "OK")</f>
        <v>OK</v>
      </c>
      <c r="Q59">
        <f>IF(Analysis[[#This Row],[delay_reason]]="None", 0,1)</f>
        <v>1</v>
      </c>
    </row>
    <row r="60" spans="1:17" x14ac:dyDescent="0.25">
      <c r="A60" t="s">
        <v>120</v>
      </c>
      <c r="B60" t="s">
        <v>75</v>
      </c>
      <c r="C60" t="s">
        <v>20</v>
      </c>
      <c r="D60" t="s">
        <v>21</v>
      </c>
      <c r="E60" t="s">
        <v>34</v>
      </c>
      <c r="F60">
        <v>1299</v>
      </c>
      <c r="G60" s="1">
        <v>45444.443055555559</v>
      </c>
      <c r="H60" s="1">
        <v>45444.498611111114</v>
      </c>
      <c r="I60" s="1">
        <v>45445.165277777778</v>
      </c>
      <c r="J60">
        <v>19.29</v>
      </c>
      <c r="K60" t="s">
        <v>23</v>
      </c>
      <c r="L60">
        <v>12</v>
      </c>
      <c r="M60">
        <f>(Analysis[[#This Row],[delivery_time]]-Analysis[[#This Row],[pickup_time]])*24</f>
        <v>15.999999999941792</v>
      </c>
      <c r="N60">
        <f>(Analysis[[#This Row],[delivery_time]]-Analysis[[#This Row],[accept_time]])*24</f>
        <v>17.333333333255723</v>
      </c>
      <c r="O60">
        <f>(Analysis[[#This Row],[pickup_time]]-Analysis[[#This Row],[accept_time]])*24</f>
        <v>1.3333333333139308</v>
      </c>
      <c r="P60" t="str">
        <f>IF(Analysis[[#This Row],[Total_Delivery_Hours]]&gt;Analysis[[#This Row],[sla_delivery_hrs]], "Breach", "OK")</f>
        <v>Breach</v>
      </c>
      <c r="Q60">
        <f>IF(Analysis[[#This Row],[delay_reason]]="None", 0,1)</f>
        <v>1</v>
      </c>
    </row>
    <row r="61" spans="1:17" x14ac:dyDescent="0.25">
      <c r="A61" t="s">
        <v>121</v>
      </c>
      <c r="B61" t="s">
        <v>122</v>
      </c>
      <c r="C61" t="s">
        <v>14</v>
      </c>
      <c r="D61" t="s">
        <v>15</v>
      </c>
      <c r="E61" t="s">
        <v>68</v>
      </c>
      <c r="F61">
        <v>899</v>
      </c>
      <c r="G61" s="1">
        <v>45444.677083333336</v>
      </c>
      <c r="H61" s="1">
        <v>45444.759027777778</v>
      </c>
      <c r="I61" s="1">
        <v>45445.384027777778</v>
      </c>
      <c r="J61">
        <v>21.24</v>
      </c>
      <c r="K61" t="s">
        <v>23</v>
      </c>
      <c r="L61">
        <v>12</v>
      </c>
      <c r="M61">
        <f>(Analysis[[#This Row],[delivery_time]]-Analysis[[#This Row],[pickup_time]])*24</f>
        <v>15</v>
      </c>
      <c r="N61">
        <f>(Analysis[[#This Row],[delivery_time]]-Analysis[[#This Row],[accept_time]])*24</f>
        <v>16.96666666661622</v>
      </c>
      <c r="O61">
        <f>(Analysis[[#This Row],[pickup_time]]-Analysis[[#This Row],[accept_time]])*24</f>
        <v>1.96666666661622</v>
      </c>
      <c r="P61" t="str">
        <f>IF(Analysis[[#This Row],[Total_Delivery_Hours]]&gt;Analysis[[#This Row],[sla_delivery_hrs]], "Breach", "OK")</f>
        <v>Breach</v>
      </c>
      <c r="Q61">
        <f>IF(Analysis[[#This Row],[delay_reason]]="None", 0,1)</f>
        <v>1</v>
      </c>
    </row>
    <row r="62" spans="1:17" x14ac:dyDescent="0.25">
      <c r="A62" t="s">
        <v>123</v>
      </c>
      <c r="B62" t="s">
        <v>75</v>
      </c>
      <c r="C62" t="s">
        <v>37</v>
      </c>
      <c r="D62" t="s">
        <v>38</v>
      </c>
      <c r="E62" t="s">
        <v>22</v>
      </c>
      <c r="F62">
        <v>399</v>
      </c>
      <c r="G62" s="1">
        <v>45444.615972222222</v>
      </c>
      <c r="H62" s="1">
        <v>45444.630555555559</v>
      </c>
      <c r="I62" s="1">
        <v>45445.047222222223</v>
      </c>
      <c r="J62">
        <v>12.21</v>
      </c>
      <c r="K62" t="s">
        <v>53</v>
      </c>
      <c r="L62">
        <v>12</v>
      </c>
      <c r="M62">
        <f>(Analysis[[#This Row],[delivery_time]]-Analysis[[#This Row],[pickup_time]])*24</f>
        <v>9.9999999999417923</v>
      </c>
      <c r="N62">
        <f>(Analysis[[#This Row],[delivery_time]]-Analysis[[#This Row],[accept_time]])*24</f>
        <v>10.350000000034925</v>
      </c>
      <c r="O62">
        <f>(Analysis[[#This Row],[pickup_time]]-Analysis[[#This Row],[accept_time]])*24</f>
        <v>0.35000000009313226</v>
      </c>
      <c r="P62" t="str">
        <f>IF(Analysis[[#This Row],[Total_Delivery_Hours]]&gt;Analysis[[#This Row],[sla_delivery_hrs]], "Breach", "OK")</f>
        <v>OK</v>
      </c>
      <c r="Q62">
        <f>IF(Analysis[[#This Row],[delay_reason]]="None", 0,1)</f>
        <v>0</v>
      </c>
    </row>
    <row r="63" spans="1:17" x14ac:dyDescent="0.25">
      <c r="A63" t="s">
        <v>124</v>
      </c>
      <c r="B63" t="s">
        <v>28</v>
      </c>
      <c r="C63" t="s">
        <v>45</v>
      </c>
      <c r="D63" t="s">
        <v>46</v>
      </c>
      <c r="E63" t="s">
        <v>22</v>
      </c>
      <c r="F63">
        <v>2499</v>
      </c>
      <c r="G63" s="1">
        <v>45444.527083333334</v>
      </c>
      <c r="H63" s="1">
        <v>45444.59375</v>
      </c>
      <c r="I63" s="1">
        <v>45445.177083333336</v>
      </c>
      <c r="J63">
        <v>24.92</v>
      </c>
      <c r="K63" t="s">
        <v>53</v>
      </c>
      <c r="L63">
        <v>12</v>
      </c>
      <c r="M63">
        <f>(Analysis[[#This Row],[delivery_time]]-Analysis[[#This Row],[pickup_time]])*24</f>
        <v>14.000000000058208</v>
      </c>
      <c r="N63">
        <f>(Analysis[[#This Row],[delivery_time]]-Analysis[[#This Row],[accept_time]])*24</f>
        <v>15.600000000034925</v>
      </c>
      <c r="O63">
        <f>(Analysis[[#This Row],[pickup_time]]-Analysis[[#This Row],[accept_time]])*24</f>
        <v>1.5999999999767169</v>
      </c>
      <c r="P63" t="str">
        <f>IF(Analysis[[#This Row],[Total_Delivery_Hours]]&gt;Analysis[[#This Row],[sla_delivery_hrs]], "Breach", "OK")</f>
        <v>Breach</v>
      </c>
      <c r="Q63">
        <f>IF(Analysis[[#This Row],[delay_reason]]="None", 0,1)</f>
        <v>0</v>
      </c>
    </row>
    <row r="64" spans="1:17" x14ac:dyDescent="0.25">
      <c r="A64" t="s">
        <v>125</v>
      </c>
      <c r="B64" t="s">
        <v>84</v>
      </c>
      <c r="C64" t="s">
        <v>37</v>
      </c>
      <c r="D64" t="s">
        <v>38</v>
      </c>
      <c r="E64" t="s">
        <v>16</v>
      </c>
      <c r="F64">
        <v>899</v>
      </c>
      <c r="G64" s="1">
        <v>45444.529166666667</v>
      </c>
      <c r="H64" s="1">
        <v>45444.599305555559</v>
      </c>
      <c r="I64" s="1">
        <v>45444.807638888888</v>
      </c>
      <c r="J64">
        <v>20.78</v>
      </c>
      <c r="K64" t="s">
        <v>30</v>
      </c>
      <c r="L64">
        <v>12</v>
      </c>
      <c r="M64">
        <f>(Analysis[[#This Row],[delivery_time]]-Analysis[[#This Row],[pickup_time]])*24</f>
        <v>4.9999999998835847</v>
      </c>
      <c r="N64">
        <f>(Analysis[[#This Row],[delivery_time]]-Analysis[[#This Row],[accept_time]])*24</f>
        <v>6.6833333332906477</v>
      </c>
      <c r="O64">
        <f>(Analysis[[#This Row],[pickup_time]]-Analysis[[#This Row],[accept_time]])*24</f>
        <v>1.683333333407063</v>
      </c>
      <c r="P64" t="str">
        <f>IF(Analysis[[#This Row],[Total_Delivery_Hours]]&gt;Analysis[[#This Row],[sla_delivery_hrs]], "Breach", "OK")</f>
        <v>OK</v>
      </c>
      <c r="Q64">
        <f>IF(Analysis[[#This Row],[delay_reason]]="None", 0,1)</f>
        <v>1</v>
      </c>
    </row>
    <row r="65" spans="1:17" x14ac:dyDescent="0.25">
      <c r="A65" t="s">
        <v>126</v>
      </c>
      <c r="B65" t="s">
        <v>127</v>
      </c>
      <c r="C65" t="s">
        <v>20</v>
      </c>
      <c r="D65" t="s">
        <v>21</v>
      </c>
      <c r="E65" t="s">
        <v>22</v>
      </c>
      <c r="F65">
        <v>1499</v>
      </c>
      <c r="G65" s="1">
        <v>45444.647916666669</v>
      </c>
      <c r="H65" s="1">
        <v>45444.668749999997</v>
      </c>
      <c r="I65" s="1">
        <v>45445.335416666669</v>
      </c>
      <c r="J65">
        <v>6.8</v>
      </c>
      <c r="K65" t="s">
        <v>23</v>
      </c>
      <c r="L65">
        <v>12</v>
      </c>
      <c r="M65">
        <f>(Analysis[[#This Row],[delivery_time]]-Analysis[[#This Row],[pickup_time]])*24</f>
        <v>16.000000000116415</v>
      </c>
      <c r="N65">
        <f>(Analysis[[#This Row],[delivery_time]]-Analysis[[#This Row],[accept_time]])*24</f>
        <v>16.5</v>
      </c>
      <c r="O65">
        <f>(Analysis[[#This Row],[pickup_time]]-Analysis[[#This Row],[accept_time]])*24</f>
        <v>0.49999999988358468</v>
      </c>
      <c r="P65" t="str">
        <f>IF(Analysis[[#This Row],[Total_Delivery_Hours]]&gt;Analysis[[#This Row],[sla_delivery_hrs]], "Breach", "OK")</f>
        <v>Breach</v>
      </c>
      <c r="Q65">
        <f>IF(Analysis[[#This Row],[delay_reason]]="None", 0,1)</f>
        <v>1</v>
      </c>
    </row>
    <row r="66" spans="1:17" x14ac:dyDescent="0.25">
      <c r="A66" t="s">
        <v>128</v>
      </c>
      <c r="B66" t="s">
        <v>102</v>
      </c>
      <c r="C66" t="s">
        <v>41</v>
      </c>
      <c r="D66" t="s">
        <v>42</v>
      </c>
      <c r="E66" t="s">
        <v>68</v>
      </c>
      <c r="F66">
        <v>899</v>
      </c>
      <c r="G66" s="1">
        <v>45444.65902777778</v>
      </c>
      <c r="H66" s="1">
        <v>45444.710416666669</v>
      </c>
      <c r="I66" s="1">
        <v>45445.085416666669</v>
      </c>
      <c r="J66">
        <v>19.16</v>
      </c>
      <c r="K66" t="s">
        <v>23</v>
      </c>
      <c r="L66">
        <v>12</v>
      </c>
      <c r="M66">
        <f>(Analysis[[#This Row],[delivery_time]]-Analysis[[#This Row],[pickup_time]])*24</f>
        <v>9</v>
      </c>
      <c r="N66">
        <f>(Analysis[[#This Row],[delivery_time]]-Analysis[[#This Row],[accept_time]])*24</f>
        <v>10.233333333337214</v>
      </c>
      <c r="O66">
        <f>(Analysis[[#This Row],[pickup_time]]-Analysis[[#This Row],[accept_time]])*24</f>
        <v>1.2333333333372138</v>
      </c>
      <c r="P66" t="str">
        <f>IF(Analysis[[#This Row],[Total_Delivery_Hours]]&gt;Analysis[[#This Row],[sla_delivery_hrs]], "Breach", "OK")</f>
        <v>OK</v>
      </c>
      <c r="Q66">
        <f>IF(Analysis[[#This Row],[delay_reason]]="None", 0,1)</f>
        <v>1</v>
      </c>
    </row>
    <row r="67" spans="1:17" x14ac:dyDescent="0.25">
      <c r="A67" t="s">
        <v>129</v>
      </c>
      <c r="B67" t="s">
        <v>40</v>
      </c>
      <c r="C67" t="s">
        <v>45</v>
      </c>
      <c r="D67" t="s">
        <v>46</v>
      </c>
      <c r="E67" t="s">
        <v>22</v>
      </c>
      <c r="F67">
        <v>699</v>
      </c>
      <c r="G67" s="1">
        <v>45444.755555555559</v>
      </c>
      <c r="H67" s="1">
        <v>45444.771527777775</v>
      </c>
      <c r="I67" s="1">
        <v>45445.438194444447</v>
      </c>
      <c r="J67">
        <v>24.71</v>
      </c>
      <c r="K67" t="s">
        <v>23</v>
      </c>
      <c r="L67">
        <v>12</v>
      </c>
      <c r="M67">
        <f>(Analysis[[#This Row],[delivery_time]]-Analysis[[#This Row],[pickup_time]])*24</f>
        <v>16.000000000116415</v>
      </c>
      <c r="N67">
        <f>(Analysis[[#This Row],[delivery_time]]-Analysis[[#This Row],[accept_time]])*24</f>
        <v>16.383333333302289</v>
      </c>
      <c r="O67">
        <f>(Analysis[[#This Row],[pickup_time]]-Analysis[[#This Row],[accept_time]])*24</f>
        <v>0.38333333318587393</v>
      </c>
      <c r="P67" t="str">
        <f>IF(Analysis[[#This Row],[Total_Delivery_Hours]]&gt;Analysis[[#This Row],[sla_delivery_hrs]], "Breach", "OK")</f>
        <v>Breach</v>
      </c>
      <c r="Q67">
        <f>IF(Analysis[[#This Row],[delay_reason]]="None", 0,1)</f>
        <v>1</v>
      </c>
    </row>
    <row r="68" spans="1:17" x14ac:dyDescent="0.25">
      <c r="A68" t="s">
        <v>130</v>
      </c>
      <c r="B68" t="s">
        <v>25</v>
      </c>
      <c r="C68" t="s">
        <v>37</v>
      </c>
      <c r="D68" t="s">
        <v>38</v>
      </c>
      <c r="E68" t="s">
        <v>26</v>
      </c>
      <c r="F68">
        <v>399</v>
      </c>
      <c r="G68" s="1">
        <v>45444.686111111114</v>
      </c>
      <c r="H68" s="1">
        <v>45444.71597222222</v>
      </c>
      <c r="I68" s="1">
        <v>45445.174305555556</v>
      </c>
      <c r="J68">
        <v>13.64</v>
      </c>
      <c r="K68" t="s">
        <v>23</v>
      </c>
      <c r="L68">
        <v>12</v>
      </c>
      <c r="M68">
        <f>(Analysis[[#This Row],[delivery_time]]-Analysis[[#This Row],[pickup_time]])*24</f>
        <v>11.000000000058208</v>
      </c>
      <c r="N68">
        <f>(Analysis[[#This Row],[delivery_time]]-Analysis[[#This Row],[accept_time]])*24</f>
        <v>11.71666666661622</v>
      </c>
      <c r="O68">
        <f>(Analysis[[#This Row],[pickup_time]]-Analysis[[#This Row],[accept_time]])*24</f>
        <v>0.71666666655801237</v>
      </c>
      <c r="P68" t="str">
        <f>IF(Analysis[[#This Row],[Total_Delivery_Hours]]&gt;Analysis[[#This Row],[sla_delivery_hrs]], "Breach", "OK")</f>
        <v>OK</v>
      </c>
      <c r="Q68">
        <f>IF(Analysis[[#This Row],[delay_reason]]="None", 0,1)</f>
        <v>1</v>
      </c>
    </row>
    <row r="69" spans="1:17" x14ac:dyDescent="0.25">
      <c r="A69" t="s">
        <v>131</v>
      </c>
      <c r="B69" t="s">
        <v>132</v>
      </c>
      <c r="C69" t="s">
        <v>14</v>
      </c>
      <c r="D69" t="s">
        <v>15</v>
      </c>
      <c r="E69" t="s">
        <v>34</v>
      </c>
      <c r="F69">
        <v>2499</v>
      </c>
      <c r="G69" s="1">
        <v>45444.578472222223</v>
      </c>
      <c r="H69" s="1">
        <v>45444.651388888888</v>
      </c>
      <c r="I69" s="1">
        <v>45445.151388888888</v>
      </c>
      <c r="J69">
        <v>8.82</v>
      </c>
      <c r="K69" t="s">
        <v>17</v>
      </c>
      <c r="L69">
        <v>12</v>
      </c>
      <c r="M69">
        <f>(Analysis[[#This Row],[delivery_time]]-Analysis[[#This Row],[pickup_time]])*24</f>
        <v>12</v>
      </c>
      <c r="N69">
        <f>(Analysis[[#This Row],[delivery_time]]-Analysis[[#This Row],[accept_time]])*24</f>
        <v>13.749999999941792</v>
      </c>
      <c r="O69">
        <f>(Analysis[[#This Row],[pickup_time]]-Analysis[[#This Row],[accept_time]])*24</f>
        <v>1.7499999999417923</v>
      </c>
      <c r="P69" t="str">
        <f>IF(Analysis[[#This Row],[Total_Delivery_Hours]]&gt;Analysis[[#This Row],[sla_delivery_hrs]], "Breach", "OK")</f>
        <v>OK</v>
      </c>
      <c r="Q69">
        <f>IF(Analysis[[#This Row],[delay_reason]]="None", 0,1)</f>
        <v>1</v>
      </c>
    </row>
    <row r="70" spans="1:17" x14ac:dyDescent="0.25">
      <c r="A70" t="s">
        <v>133</v>
      </c>
      <c r="B70" t="s">
        <v>94</v>
      </c>
      <c r="C70" t="s">
        <v>37</v>
      </c>
      <c r="D70" t="s">
        <v>38</v>
      </c>
      <c r="E70" t="s">
        <v>34</v>
      </c>
      <c r="F70">
        <v>899</v>
      </c>
      <c r="G70" s="1">
        <v>45444.704861111109</v>
      </c>
      <c r="H70" s="1">
        <v>45444.76666666667</v>
      </c>
      <c r="I70" s="1">
        <v>45445.308333333334</v>
      </c>
      <c r="J70">
        <v>7.74</v>
      </c>
      <c r="K70" t="s">
        <v>53</v>
      </c>
      <c r="L70">
        <v>12</v>
      </c>
      <c r="M70">
        <f>(Analysis[[#This Row],[delivery_time]]-Analysis[[#This Row],[pickup_time]])*24</f>
        <v>12.999999999941792</v>
      </c>
      <c r="N70">
        <f>(Analysis[[#This Row],[delivery_time]]-Analysis[[#This Row],[accept_time]])*24</f>
        <v>14.483333333395422</v>
      </c>
      <c r="O70">
        <f>(Analysis[[#This Row],[pickup_time]]-Analysis[[#This Row],[accept_time]])*24</f>
        <v>1.4833333334536292</v>
      </c>
      <c r="P70" t="str">
        <f>IF(Analysis[[#This Row],[Total_Delivery_Hours]]&gt;Analysis[[#This Row],[sla_delivery_hrs]], "Breach", "OK")</f>
        <v>Breach</v>
      </c>
      <c r="Q70">
        <f>IF(Analysis[[#This Row],[delay_reason]]="None", 0,1)</f>
        <v>0</v>
      </c>
    </row>
    <row r="71" spans="1:17" x14ac:dyDescent="0.25">
      <c r="A71" t="s">
        <v>134</v>
      </c>
      <c r="B71" t="s">
        <v>52</v>
      </c>
      <c r="C71" t="s">
        <v>20</v>
      </c>
      <c r="D71" t="s">
        <v>21</v>
      </c>
      <c r="E71" t="s">
        <v>29</v>
      </c>
      <c r="F71">
        <v>399</v>
      </c>
      <c r="G71" s="1">
        <v>45444.504166666666</v>
      </c>
      <c r="H71" s="1">
        <v>45444.5625</v>
      </c>
      <c r="I71" s="1">
        <v>45444.729166666664</v>
      </c>
      <c r="J71">
        <v>8.3000000000000007</v>
      </c>
      <c r="K71" t="s">
        <v>53</v>
      </c>
      <c r="L71">
        <v>12</v>
      </c>
      <c r="M71">
        <f>(Analysis[[#This Row],[delivery_time]]-Analysis[[#This Row],[pickup_time]])*24</f>
        <v>3.9999999999417923</v>
      </c>
      <c r="N71">
        <f>(Analysis[[#This Row],[delivery_time]]-Analysis[[#This Row],[accept_time]])*24</f>
        <v>5.3999999999650754</v>
      </c>
      <c r="O71">
        <f>(Analysis[[#This Row],[pickup_time]]-Analysis[[#This Row],[accept_time]])*24</f>
        <v>1.4000000000232831</v>
      </c>
      <c r="P71" t="str">
        <f>IF(Analysis[[#This Row],[Total_Delivery_Hours]]&gt;Analysis[[#This Row],[sla_delivery_hrs]], "Breach", "OK")</f>
        <v>OK</v>
      </c>
      <c r="Q71">
        <f>IF(Analysis[[#This Row],[delay_reason]]="None", 0,1)</f>
        <v>0</v>
      </c>
    </row>
    <row r="72" spans="1:17" x14ac:dyDescent="0.25">
      <c r="A72" t="s">
        <v>135</v>
      </c>
      <c r="B72" t="s">
        <v>96</v>
      </c>
      <c r="C72" t="s">
        <v>20</v>
      </c>
      <c r="D72" t="s">
        <v>21</v>
      </c>
      <c r="E72" t="s">
        <v>29</v>
      </c>
      <c r="F72">
        <v>199</v>
      </c>
      <c r="G72" s="1">
        <v>45444.767361111109</v>
      </c>
      <c r="H72" s="1">
        <v>45444.836111111108</v>
      </c>
      <c r="I72" s="1">
        <v>45445.419444444444</v>
      </c>
      <c r="J72">
        <v>15</v>
      </c>
      <c r="K72" t="s">
        <v>53</v>
      </c>
      <c r="L72">
        <v>12</v>
      </c>
      <c r="M72">
        <f>(Analysis[[#This Row],[delivery_time]]-Analysis[[#This Row],[pickup_time]])*24</f>
        <v>14.000000000058208</v>
      </c>
      <c r="N72">
        <f>(Analysis[[#This Row],[delivery_time]]-Analysis[[#This Row],[accept_time]])*24</f>
        <v>15.650000000023283</v>
      </c>
      <c r="O72">
        <f>(Analysis[[#This Row],[pickup_time]]-Analysis[[#This Row],[accept_time]])*24</f>
        <v>1.6499999999650754</v>
      </c>
      <c r="P72" t="str">
        <f>IF(Analysis[[#This Row],[Total_Delivery_Hours]]&gt;Analysis[[#This Row],[sla_delivery_hrs]], "Breach", "OK")</f>
        <v>Breach</v>
      </c>
      <c r="Q72">
        <f>IF(Analysis[[#This Row],[delay_reason]]="None", 0,1)</f>
        <v>0</v>
      </c>
    </row>
    <row r="73" spans="1:17" x14ac:dyDescent="0.25">
      <c r="A73" t="s">
        <v>136</v>
      </c>
      <c r="B73" t="s">
        <v>64</v>
      </c>
      <c r="C73" t="s">
        <v>20</v>
      </c>
      <c r="D73" t="s">
        <v>21</v>
      </c>
      <c r="E73" t="s">
        <v>68</v>
      </c>
      <c r="F73">
        <v>499</v>
      </c>
      <c r="G73" s="1">
        <v>45444.423611111109</v>
      </c>
      <c r="H73" s="1">
        <v>45444.478472222225</v>
      </c>
      <c r="I73" s="1">
        <v>45444.895138888889</v>
      </c>
      <c r="J73">
        <v>19.899999999999999</v>
      </c>
      <c r="K73" t="s">
        <v>53</v>
      </c>
      <c r="L73">
        <v>12</v>
      </c>
      <c r="M73">
        <f>(Analysis[[#This Row],[delivery_time]]-Analysis[[#This Row],[pickup_time]])*24</f>
        <v>9.9999999999417923</v>
      </c>
      <c r="N73">
        <f>(Analysis[[#This Row],[delivery_time]]-Analysis[[#This Row],[accept_time]])*24</f>
        <v>11.316666666709352</v>
      </c>
      <c r="O73">
        <f>(Analysis[[#This Row],[pickup_time]]-Analysis[[#This Row],[accept_time]])*24</f>
        <v>1.3166666667675599</v>
      </c>
      <c r="P73" t="str">
        <f>IF(Analysis[[#This Row],[Total_Delivery_Hours]]&gt;Analysis[[#This Row],[sla_delivery_hrs]], "Breach", "OK")</f>
        <v>OK</v>
      </c>
      <c r="Q73">
        <f>IF(Analysis[[#This Row],[delay_reason]]="None", 0,1)</f>
        <v>0</v>
      </c>
    </row>
    <row r="74" spans="1:17" x14ac:dyDescent="0.25">
      <c r="A74" t="s">
        <v>137</v>
      </c>
      <c r="B74" t="s">
        <v>102</v>
      </c>
      <c r="C74" t="s">
        <v>45</v>
      </c>
      <c r="D74" t="s">
        <v>46</v>
      </c>
      <c r="E74" t="s">
        <v>34</v>
      </c>
      <c r="F74">
        <v>299</v>
      </c>
      <c r="G74" s="1">
        <v>45444.409722222219</v>
      </c>
      <c r="H74" s="1">
        <v>45444.454861111109</v>
      </c>
      <c r="I74" s="1">
        <v>45444.788194444445</v>
      </c>
      <c r="J74">
        <v>7.23</v>
      </c>
      <c r="K74" t="s">
        <v>23</v>
      </c>
      <c r="L74">
        <v>12</v>
      </c>
      <c r="M74">
        <f>(Analysis[[#This Row],[delivery_time]]-Analysis[[#This Row],[pickup_time]])*24</f>
        <v>8.0000000000582077</v>
      </c>
      <c r="N74">
        <f>(Analysis[[#This Row],[delivery_time]]-Analysis[[#This Row],[accept_time]])*24</f>
        <v>9.0833333334303461</v>
      </c>
      <c r="O74">
        <f>(Analysis[[#This Row],[pickup_time]]-Analysis[[#This Row],[accept_time]])*24</f>
        <v>1.0833333333721384</v>
      </c>
      <c r="P74" t="str">
        <f>IF(Analysis[[#This Row],[Total_Delivery_Hours]]&gt;Analysis[[#This Row],[sla_delivery_hrs]], "Breach", "OK")</f>
        <v>OK</v>
      </c>
      <c r="Q74">
        <f>IF(Analysis[[#This Row],[delay_reason]]="None", 0,1)</f>
        <v>1</v>
      </c>
    </row>
    <row r="75" spans="1:17" x14ac:dyDescent="0.25">
      <c r="A75" t="s">
        <v>138</v>
      </c>
      <c r="B75" t="s">
        <v>114</v>
      </c>
      <c r="C75" t="s">
        <v>20</v>
      </c>
      <c r="D75" t="s">
        <v>21</v>
      </c>
      <c r="E75" t="s">
        <v>22</v>
      </c>
      <c r="F75">
        <v>1499</v>
      </c>
      <c r="G75" s="1">
        <v>45444.443055555559</v>
      </c>
      <c r="H75" s="1">
        <v>45444.467361111114</v>
      </c>
      <c r="I75" s="1">
        <v>45444.884027777778</v>
      </c>
      <c r="J75">
        <v>20.36</v>
      </c>
      <c r="K75" t="s">
        <v>30</v>
      </c>
      <c r="L75">
        <v>12</v>
      </c>
      <c r="M75">
        <f>(Analysis[[#This Row],[delivery_time]]-Analysis[[#This Row],[pickup_time]])*24</f>
        <v>9.9999999999417923</v>
      </c>
      <c r="N75">
        <f>(Analysis[[#This Row],[delivery_time]]-Analysis[[#This Row],[accept_time]])*24</f>
        <v>10.583333333255723</v>
      </c>
      <c r="O75">
        <f>(Analysis[[#This Row],[pickup_time]]-Analysis[[#This Row],[accept_time]])*24</f>
        <v>0.58333333331393078</v>
      </c>
      <c r="P75" t="str">
        <f>IF(Analysis[[#This Row],[Total_Delivery_Hours]]&gt;Analysis[[#This Row],[sla_delivery_hrs]], "Breach", "OK")</f>
        <v>OK</v>
      </c>
      <c r="Q75">
        <f>IF(Analysis[[#This Row],[delay_reason]]="None", 0,1)</f>
        <v>1</v>
      </c>
    </row>
    <row r="76" spans="1:17" x14ac:dyDescent="0.25">
      <c r="A76" t="s">
        <v>139</v>
      </c>
      <c r="B76" t="s">
        <v>40</v>
      </c>
      <c r="C76" t="s">
        <v>20</v>
      </c>
      <c r="D76" t="s">
        <v>21</v>
      </c>
      <c r="E76" t="s">
        <v>68</v>
      </c>
      <c r="F76">
        <v>2499</v>
      </c>
      <c r="G76" s="1">
        <v>45444.455555555556</v>
      </c>
      <c r="H76" s="1">
        <v>45444.527083333334</v>
      </c>
      <c r="I76" s="1">
        <v>45445.318749999999</v>
      </c>
      <c r="J76">
        <v>20.07</v>
      </c>
      <c r="K76" t="s">
        <v>53</v>
      </c>
      <c r="L76">
        <v>12</v>
      </c>
      <c r="M76">
        <f>(Analysis[[#This Row],[delivery_time]]-Analysis[[#This Row],[pickup_time]])*24</f>
        <v>18.999999999941792</v>
      </c>
      <c r="N76">
        <f>(Analysis[[#This Row],[delivery_time]]-Analysis[[#This Row],[accept_time]])*24</f>
        <v>20.71666666661622</v>
      </c>
      <c r="O76">
        <f>(Analysis[[#This Row],[pickup_time]]-Analysis[[#This Row],[accept_time]])*24</f>
        <v>1.7166666666744277</v>
      </c>
      <c r="P76" t="str">
        <f>IF(Analysis[[#This Row],[Total_Delivery_Hours]]&gt;Analysis[[#This Row],[sla_delivery_hrs]], "Breach", "OK")</f>
        <v>Breach</v>
      </c>
      <c r="Q76">
        <f>IF(Analysis[[#This Row],[delay_reason]]="None", 0,1)</f>
        <v>0</v>
      </c>
    </row>
    <row r="77" spans="1:17" x14ac:dyDescent="0.25">
      <c r="A77" t="s">
        <v>140</v>
      </c>
      <c r="B77" t="s">
        <v>141</v>
      </c>
      <c r="C77" t="s">
        <v>37</v>
      </c>
      <c r="D77" t="s">
        <v>38</v>
      </c>
      <c r="E77" t="s">
        <v>68</v>
      </c>
      <c r="F77">
        <v>899</v>
      </c>
      <c r="G77" s="1">
        <v>45444.65625</v>
      </c>
      <c r="H77" s="1">
        <v>45444.692361111112</v>
      </c>
      <c r="I77" s="1">
        <v>45445.400694444441</v>
      </c>
      <c r="J77">
        <v>9.34</v>
      </c>
      <c r="K77" t="s">
        <v>30</v>
      </c>
      <c r="L77">
        <v>12</v>
      </c>
      <c r="M77">
        <f>(Analysis[[#This Row],[delivery_time]]-Analysis[[#This Row],[pickup_time]])*24</f>
        <v>16.999999999883585</v>
      </c>
      <c r="N77">
        <f>(Analysis[[#This Row],[delivery_time]]-Analysis[[#This Row],[accept_time]])*24</f>
        <v>17.866666666581295</v>
      </c>
      <c r="O77">
        <f>(Analysis[[#This Row],[pickup_time]]-Analysis[[#This Row],[accept_time]])*24</f>
        <v>0.86666666669771075</v>
      </c>
      <c r="P77" t="str">
        <f>IF(Analysis[[#This Row],[Total_Delivery_Hours]]&gt;Analysis[[#This Row],[sla_delivery_hrs]], "Breach", "OK")</f>
        <v>Breach</v>
      </c>
      <c r="Q77">
        <f>IF(Analysis[[#This Row],[delay_reason]]="None", 0,1)</f>
        <v>1</v>
      </c>
    </row>
    <row r="78" spans="1:17" x14ac:dyDescent="0.25">
      <c r="A78" t="s">
        <v>142</v>
      </c>
      <c r="B78" t="s">
        <v>55</v>
      </c>
      <c r="C78" t="s">
        <v>20</v>
      </c>
      <c r="D78" t="s">
        <v>21</v>
      </c>
      <c r="E78" t="s">
        <v>68</v>
      </c>
      <c r="F78">
        <v>1999</v>
      </c>
      <c r="G78" s="1">
        <v>45444.392361111109</v>
      </c>
      <c r="H78" s="1">
        <v>45444.447916666664</v>
      </c>
      <c r="I78" s="1">
        <v>45444.989583333336</v>
      </c>
      <c r="J78">
        <v>16.07</v>
      </c>
      <c r="K78" t="s">
        <v>53</v>
      </c>
      <c r="L78">
        <v>12</v>
      </c>
      <c r="M78">
        <f>(Analysis[[#This Row],[delivery_time]]-Analysis[[#This Row],[pickup_time]])*24</f>
        <v>13.000000000116415</v>
      </c>
      <c r="N78">
        <f>(Analysis[[#This Row],[delivery_time]]-Analysis[[#This Row],[accept_time]])*24</f>
        <v>14.333333333430346</v>
      </c>
      <c r="O78">
        <f>(Analysis[[#This Row],[pickup_time]]-Analysis[[#This Row],[accept_time]])*24</f>
        <v>1.3333333333139308</v>
      </c>
      <c r="P78" t="str">
        <f>IF(Analysis[[#This Row],[Total_Delivery_Hours]]&gt;Analysis[[#This Row],[sla_delivery_hrs]], "Breach", "OK")</f>
        <v>Breach</v>
      </c>
      <c r="Q78">
        <f>IF(Analysis[[#This Row],[delay_reason]]="None", 0,1)</f>
        <v>0</v>
      </c>
    </row>
    <row r="79" spans="1:17" x14ac:dyDescent="0.25">
      <c r="A79" t="s">
        <v>143</v>
      </c>
      <c r="B79" t="s">
        <v>132</v>
      </c>
      <c r="C79" t="s">
        <v>14</v>
      </c>
      <c r="D79" t="s">
        <v>15</v>
      </c>
      <c r="E79" t="s">
        <v>22</v>
      </c>
      <c r="F79">
        <v>699</v>
      </c>
      <c r="G79" s="1">
        <v>45444.526388888888</v>
      </c>
      <c r="H79" s="1">
        <v>45444.584722222222</v>
      </c>
      <c r="I79" s="1">
        <v>45444.751388888886</v>
      </c>
      <c r="J79">
        <v>10.9</v>
      </c>
      <c r="K79" t="s">
        <v>53</v>
      </c>
      <c r="L79">
        <v>12</v>
      </c>
      <c r="M79">
        <f>(Analysis[[#This Row],[delivery_time]]-Analysis[[#This Row],[pickup_time]])*24</f>
        <v>3.9999999999417923</v>
      </c>
      <c r="N79">
        <f>(Analysis[[#This Row],[delivery_time]]-Analysis[[#This Row],[accept_time]])*24</f>
        <v>5.3999999999650754</v>
      </c>
      <c r="O79">
        <f>(Analysis[[#This Row],[pickup_time]]-Analysis[[#This Row],[accept_time]])*24</f>
        <v>1.4000000000232831</v>
      </c>
      <c r="P79" t="str">
        <f>IF(Analysis[[#This Row],[Total_Delivery_Hours]]&gt;Analysis[[#This Row],[sla_delivery_hrs]], "Breach", "OK")</f>
        <v>OK</v>
      </c>
      <c r="Q79">
        <f>IF(Analysis[[#This Row],[delay_reason]]="None", 0,1)</f>
        <v>0</v>
      </c>
    </row>
    <row r="80" spans="1:17" x14ac:dyDescent="0.25">
      <c r="A80" t="s">
        <v>144</v>
      </c>
      <c r="B80" t="s">
        <v>81</v>
      </c>
      <c r="C80" t="s">
        <v>20</v>
      </c>
      <c r="D80" t="s">
        <v>21</v>
      </c>
      <c r="E80" t="s">
        <v>22</v>
      </c>
      <c r="F80">
        <v>1999</v>
      </c>
      <c r="G80" s="1">
        <v>45444.474305555559</v>
      </c>
      <c r="H80" s="1">
        <v>45444.502083333333</v>
      </c>
      <c r="I80" s="1">
        <v>45445.335416666669</v>
      </c>
      <c r="J80">
        <v>12.62</v>
      </c>
      <c r="K80" t="s">
        <v>23</v>
      </c>
      <c r="L80">
        <v>12</v>
      </c>
      <c r="M80">
        <f>(Analysis[[#This Row],[delivery_time]]-Analysis[[#This Row],[pickup_time]])*24</f>
        <v>20.000000000058208</v>
      </c>
      <c r="N80">
        <f>(Analysis[[#This Row],[delivery_time]]-Analysis[[#This Row],[accept_time]])*24</f>
        <v>20.666666666627862</v>
      </c>
      <c r="O80">
        <f>(Analysis[[#This Row],[pickup_time]]-Analysis[[#This Row],[accept_time]])*24</f>
        <v>0.6666666665696539</v>
      </c>
      <c r="P80" t="str">
        <f>IF(Analysis[[#This Row],[Total_Delivery_Hours]]&gt;Analysis[[#This Row],[sla_delivery_hrs]], "Breach", "OK")</f>
        <v>Breach</v>
      </c>
      <c r="Q80">
        <f>IF(Analysis[[#This Row],[delay_reason]]="None", 0,1)</f>
        <v>1</v>
      </c>
    </row>
    <row r="81" spans="1:17" x14ac:dyDescent="0.25">
      <c r="A81" t="s">
        <v>145</v>
      </c>
      <c r="B81" t="s">
        <v>57</v>
      </c>
      <c r="C81" t="s">
        <v>45</v>
      </c>
      <c r="D81" t="s">
        <v>46</v>
      </c>
      <c r="E81" t="s">
        <v>26</v>
      </c>
      <c r="F81">
        <v>899</v>
      </c>
      <c r="G81" s="1">
        <v>45444.543749999997</v>
      </c>
      <c r="H81" s="1">
        <v>45444.572222222225</v>
      </c>
      <c r="I81" s="1">
        <v>45444.947222222225</v>
      </c>
      <c r="J81">
        <v>24.03</v>
      </c>
      <c r="K81" t="s">
        <v>53</v>
      </c>
      <c r="L81">
        <v>12</v>
      </c>
      <c r="M81">
        <f>(Analysis[[#This Row],[delivery_time]]-Analysis[[#This Row],[pickup_time]])*24</f>
        <v>9</v>
      </c>
      <c r="N81">
        <f>(Analysis[[#This Row],[delivery_time]]-Analysis[[#This Row],[accept_time]])*24</f>
        <v>9.6833333334652707</v>
      </c>
      <c r="O81">
        <f>(Analysis[[#This Row],[pickup_time]]-Analysis[[#This Row],[accept_time]])*24</f>
        <v>0.6833333334652707</v>
      </c>
      <c r="P81" t="str">
        <f>IF(Analysis[[#This Row],[Total_Delivery_Hours]]&gt;Analysis[[#This Row],[sla_delivery_hrs]], "Breach", "OK")</f>
        <v>OK</v>
      </c>
      <c r="Q81">
        <f>IF(Analysis[[#This Row],[delay_reason]]="None", 0,1)</f>
        <v>0</v>
      </c>
    </row>
    <row r="82" spans="1:17" x14ac:dyDescent="0.25">
      <c r="A82" t="s">
        <v>146</v>
      </c>
      <c r="B82" t="s">
        <v>57</v>
      </c>
      <c r="C82" t="s">
        <v>45</v>
      </c>
      <c r="D82" t="s">
        <v>46</v>
      </c>
      <c r="E82" t="s">
        <v>16</v>
      </c>
      <c r="F82">
        <v>1999</v>
      </c>
      <c r="G82" s="1">
        <v>45444.731249999997</v>
      </c>
      <c r="H82" s="1">
        <v>45444.791666666664</v>
      </c>
      <c r="I82" s="1">
        <v>45445.041666666664</v>
      </c>
      <c r="J82">
        <v>16.97</v>
      </c>
      <c r="K82" t="s">
        <v>30</v>
      </c>
      <c r="L82">
        <v>12</v>
      </c>
      <c r="M82">
        <f>(Analysis[[#This Row],[delivery_time]]-Analysis[[#This Row],[pickup_time]])*24</f>
        <v>6</v>
      </c>
      <c r="N82">
        <f>(Analysis[[#This Row],[delivery_time]]-Analysis[[#This Row],[accept_time]])*24</f>
        <v>7.4500000000116415</v>
      </c>
      <c r="O82">
        <f>(Analysis[[#This Row],[pickup_time]]-Analysis[[#This Row],[accept_time]])*24</f>
        <v>1.4500000000116415</v>
      </c>
      <c r="P82" t="str">
        <f>IF(Analysis[[#This Row],[Total_Delivery_Hours]]&gt;Analysis[[#This Row],[sla_delivery_hrs]], "Breach", "OK")</f>
        <v>OK</v>
      </c>
      <c r="Q82">
        <f>IF(Analysis[[#This Row],[delay_reason]]="None", 0,1)</f>
        <v>1</v>
      </c>
    </row>
    <row r="83" spans="1:17" x14ac:dyDescent="0.25">
      <c r="A83" t="s">
        <v>147</v>
      </c>
      <c r="B83" t="s">
        <v>78</v>
      </c>
      <c r="C83" t="s">
        <v>14</v>
      </c>
      <c r="D83" t="s">
        <v>15</v>
      </c>
      <c r="E83" t="s">
        <v>29</v>
      </c>
      <c r="F83">
        <v>299</v>
      </c>
      <c r="G83" s="1">
        <v>45444.645138888889</v>
      </c>
      <c r="H83" s="1">
        <v>45444.702777777777</v>
      </c>
      <c r="I83" s="1">
        <v>45445.494444444441</v>
      </c>
      <c r="J83">
        <v>21.14</v>
      </c>
      <c r="K83" t="s">
        <v>53</v>
      </c>
      <c r="L83">
        <v>12</v>
      </c>
      <c r="M83">
        <f>(Analysis[[#This Row],[delivery_time]]-Analysis[[#This Row],[pickup_time]])*24</f>
        <v>18.999999999941792</v>
      </c>
      <c r="N83">
        <f>(Analysis[[#This Row],[delivery_time]]-Analysis[[#This Row],[accept_time]])*24</f>
        <v>20.383333333244082</v>
      </c>
      <c r="O83">
        <f>(Analysis[[#This Row],[pickup_time]]-Analysis[[#This Row],[accept_time]])*24</f>
        <v>1.3833333333022892</v>
      </c>
      <c r="P83" t="str">
        <f>IF(Analysis[[#This Row],[Total_Delivery_Hours]]&gt;Analysis[[#This Row],[sla_delivery_hrs]], "Breach", "OK")</f>
        <v>Breach</v>
      </c>
      <c r="Q83">
        <f>IF(Analysis[[#This Row],[delay_reason]]="None", 0,1)</f>
        <v>0</v>
      </c>
    </row>
    <row r="84" spans="1:17" x14ac:dyDescent="0.25">
      <c r="A84" t="s">
        <v>148</v>
      </c>
      <c r="B84" t="s">
        <v>132</v>
      </c>
      <c r="C84" t="s">
        <v>37</v>
      </c>
      <c r="D84" t="s">
        <v>38</v>
      </c>
      <c r="E84" t="s">
        <v>29</v>
      </c>
      <c r="F84">
        <v>299</v>
      </c>
      <c r="G84" s="1">
        <v>45444.714583333334</v>
      </c>
      <c r="H84" s="1">
        <v>45444.79791666667</v>
      </c>
      <c r="I84" s="1">
        <v>45445.464583333334</v>
      </c>
      <c r="J84">
        <v>16.190000000000001</v>
      </c>
      <c r="K84" t="s">
        <v>23</v>
      </c>
      <c r="L84">
        <v>12</v>
      </c>
      <c r="M84">
        <f>(Analysis[[#This Row],[delivery_time]]-Analysis[[#This Row],[pickup_time]])*24</f>
        <v>15.999999999941792</v>
      </c>
      <c r="N84">
        <f>(Analysis[[#This Row],[delivery_time]]-Analysis[[#This Row],[accept_time]])*24</f>
        <v>18</v>
      </c>
      <c r="O84">
        <f>(Analysis[[#This Row],[pickup_time]]-Analysis[[#This Row],[accept_time]])*24</f>
        <v>2.0000000000582077</v>
      </c>
      <c r="P84" t="str">
        <f>IF(Analysis[[#This Row],[Total_Delivery_Hours]]&gt;Analysis[[#This Row],[sla_delivery_hrs]], "Breach", "OK")</f>
        <v>Breach</v>
      </c>
      <c r="Q84">
        <f>IF(Analysis[[#This Row],[delay_reason]]="None", 0,1)</f>
        <v>1</v>
      </c>
    </row>
    <row r="85" spans="1:17" x14ac:dyDescent="0.25">
      <c r="A85" t="s">
        <v>149</v>
      </c>
      <c r="B85" t="s">
        <v>50</v>
      </c>
      <c r="C85" t="s">
        <v>41</v>
      </c>
      <c r="D85" t="s">
        <v>42</v>
      </c>
      <c r="E85" t="s">
        <v>22</v>
      </c>
      <c r="F85">
        <v>1299</v>
      </c>
      <c r="G85" s="1">
        <v>45444.45208333333</v>
      </c>
      <c r="H85" s="1">
        <v>45444.50277777778</v>
      </c>
      <c r="I85" s="1">
        <v>45444.87777777778</v>
      </c>
      <c r="J85">
        <v>6.89</v>
      </c>
      <c r="K85" t="s">
        <v>30</v>
      </c>
      <c r="L85">
        <v>12</v>
      </c>
      <c r="M85">
        <f>(Analysis[[#This Row],[delivery_time]]-Analysis[[#This Row],[pickup_time]])*24</f>
        <v>9</v>
      </c>
      <c r="N85">
        <f>(Analysis[[#This Row],[delivery_time]]-Analysis[[#This Row],[accept_time]])*24</f>
        <v>10.216666666790843</v>
      </c>
      <c r="O85">
        <f>(Analysis[[#This Row],[pickup_time]]-Analysis[[#This Row],[accept_time]])*24</f>
        <v>1.216666666790843</v>
      </c>
      <c r="P85" t="str">
        <f>IF(Analysis[[#This Row],[Total_Delivery_Hours]]&gt;Analysis[[#This Row],[sla_delivery_hrs]], "Breach", "OK")</f>
        <v>OK</v>
      </c>
      <c r="Q85">
        <f>IF(Analysis[[#This Row],[delay_reason]]="None", 0,1)</f>
        <v>1</v>
      </c>
    </row>
    <row r="86" spans="1:17" x14ac:dyDescent="0.25">
      <c r="A86" t="s">
        <v>150</v>
      </c>
      <c r="B86" t="s">
        <v>75</v>
      </c>
      <c r="C86" t="s">
        <v>41</v>
      </c>
      <c r="D86" t="s">
        <v>42</v>
      </c>
      <c r="E86" t="s">
        <v>22</v>
      </c>
      <c r="F86">
        <v>199</v>
      </c>
      <c r="G86" s="1">
        <v>45444.481249999997</v>
      </c>
      <c r="H86" s="1">
        <v>45444.540277777778</v>
      </c>
      <c r="I86" s="1">
        <v>45444.873611111114</v>
      </c>
      <c r="J86">
        <v>19.55</v>
      </c>
      <c r="K86" t="s">
        <v>23</v>
      </c>
      <c r="L86">
        <v>12</v>
      </c>
      <c r="M86">
        <f>(Analysis[[#This Row],[delivery_time]]-Analysis[[#This Row],[pickup_time]])*24</f>
        <v>8.0000000000582077</v>
      </c>
      <c r="N86">
        <f>(Analysis[[#This Row],[delivery_time]]-Analysis[[#This Row],[accept_time]])*24</f>
        <v>9.4166666668024845</v>
      </c>
      <c r="O86">
        <f>(Analysis[[#This Row],[pickup_time]]-Analysis[[#This Row],[accept_time]])*24</f>
        <v>1.4166666667442769</v>
      </c>
      <c r="P86" t="str">
        <f>IF(Analysis[[#This Row],[Total_Delivery_Hours]]&gt;Analysis[[#This Row],[sla_delivery_hrs]], "Breach", "OK")</f>
        <v>OK</v>
      </c>
      <c r="Q86">
        <f>IF(Analysis[[#This Row],[delay_reason]]="None", 0,1)</f>
        <v>1</v>
      </c>
    </row>
    <row r="87" spans="1:17" x14ac:dyDescent="0.25">
      <c r="A87" t="s">
        <v>151</v>
      </c>
      <c r="B87" t="s">
        <v>141</v>
      </c>
      <c r="C87" t="s">
        <v>14</v>
      </c>
      <c r="D87" t="s">
        <v>15</v>
      </c>
      <c r="E87" t="s">
        <v>29</v>
      </c>
      <c r="F87">
        <v>1999</v>
      </c>
      <c r="G87" s="1">
        <v>45444.378472222219</v>
      </c>
      <c r="H87" s="1">
        <v>45444.456944444442</v>
      </c>
      <c r="I87" s="1">
        <v>45444.831944444442</v>
      </c>
      <c r="J87">
        <v>9.0500000000000007</v>
      </c>
      <c r="K87" t="s">
        <v>23</v>
      </c>
      <c r="L87">
        <v>12</v>
      </c>
      <c r="M87">
        <f>(Analysis[[#This Row],[delivery_time]]-Analysis[[#This Row],[pickup_time]])*24</f>
        <v>9</v>
      </c>
      <c r="N87">
        <f>(Analysis[[#This Row],[delivery_time]]-Analysis[[#This Row],[accept_time]])*24</f>
        <v>10.883333333360497</v>
      </c>
      <c r="O87">
        <f>(Analysis[[#This Row],[pickup_time]]-Analysis[[#This Row],[accept_time]])*24</f>
        <v>1.8833333333604969</v>
      </c>
      <c r="P87" t="str">
        <f>IF(Analysis[[#This Row],[Total_Delivery_Hours]]&gt;Analysis[[#This Row],[sla_delivery_hrs]], "Breach", "OK")</f>
        <v>OK</v>
      </c>
      <c r="Q87">
        <f>IF(Analysis[[#This Row],[delay_reason]]="None", 0,1)</f>
        <v>1</v>
      </c>
    </row>
    <row r="88" spans="1:17" x14ac:dyDescent="0.25">
      <c r="A88" t="s">
        <v>152</v>
      </c>
      <c r="B88" t="s">
        <v>141</v>
      </c>
      <c r="C88" t="s">
        <v>41</v>
      </c>
      <c r="D88" t="s">
        <v>42</v>
      </c>
      <c r="E88" t="s">
        <v>34</v>
      </c>
      <c r="F88">
        <v>1999</v>
      </c>
      <c r="G88" s="1">
        <v>45444.576388888891</v>
      </c>
      <c r="H88" s="1">
        <v>45444.647222222222</v>
      </c>
      <c r="I88" s="1">
        <v>45445.313888888886</v>
      </c>
      <c r="J88">
        <v>19.57</v>
      </c>
      <c r="K88" t="s">
        <v>30</v>
      </c>
      <c r="L88">
        <v>12</v>
      </c>
      <c r="M88">
        <f>(Analysis[[#This Row],[delivery_time]]-Analysis[[#This Row],[pickup_time]])*24</f>
        <v>15.999999999941792</v>
      </c>
      <c r="N88">
        <f>(Analysis[[#This Row],[delivery_time]]-Analysis[[#This Row],[accept_time]])*24</f>
        <v>17.699999999895226</v>
      </c>
      <c r="O88">
        <f>(Analysis[[#This Row],[pickup_time]]-Analysis[[#This Row],[accept_time]])*24</f>
        <v>1.6999999999534339</v>
      </c>
      <c r="P88" t="str">
        <f>IF(Analysis[[#This Row],[Total_Delivery_Hours]]&gt;Analysis[[#This Row],[sla_delivery_hrs]], "Breach", "OK")</f>
        <v>Breach</v>
      </c>
      <c r="Q88">
        <f>IF(Analysis[[#This Row],[delay_reason]]="None", 0,1)</f>
        <v>1</v>
      </c>
    </row>
    <row r="89" spans="1:17" x14ac:dyDescent="0.25">
      <c r="A89" t="s">
        <v>153</v>
      </c>
      <c r="B89" t="s">
        <v>154</v>
      </c>
      <c r="C89" t="s">
        <v>41</v>
      </c>
      <c r="D89" t="s">
        <v>42</v>
      </c>
      <c r="E89" t="s">
        <v>68</v>
      </c>
      <c r="F89">
        <v>499</v>
      </c>
      <c r="G89" s="1">
        <v>45444.7</v>
      </c>
      <c r="H89" s="1">
        <v>45444.720138888886</v>
      </c>
      <c r="I89" s="1">
        <v>45445.303472222222</v>
      </c>
      <c r="J89">
        <v>15.77</v>
      </c>
      <c r="K89" t="s">
        <v>30</v>
      </c>
      <c r="L89">
        <v>12</v>
      </c>
      <c r="M89">
        <f>(Analysis[[#This Row],[delivery_time]]-Analysis[[#This Row],[pickup_time]])*24</f>
        <v>14.000000000058208</v>
      </c>
      <c r="N89">
        <f>(Analysis[[#This Row],[delivery_time]]-Analysis[[#This Row],[accept_time]])*24</f>
        <v>14.483333333395422</v>
      </c>
      <c r="O89">
        <f>(Analysis[[#This Row],[pickup_time]]-Analysis[[#This Row],[accept_time]])*24</f>
        <v>0.48333333333721384</v>
      </c>
      <c r="P89" t="str">
        <f>IF(Analysis[[#This Row],[Total_Delivery_Hours]]&gt;Analysis[[#This Row],[sla_delivery_hrs]], "Breach", "OK")</f>
        <v>Breach</v>
      </c>
      <c r="Q89">
        <f>IF(Analysis[[#This Row],[delay_reason]]="None", 0,1)</f>
        <v>1</v>
      </c>
    </row>
    <row r="90" spans="1:17" x14ac:dyDescent="0.25">
      <c r="A90" t="s">
        <v>155</v>
      </c>
      <c r="B90" t="s">
        <v>156</v>
      </c>
      <c r="C90" t="s">
        <v>45</v>
      </c>
      <c r="D90" t="s">
        <v>46</v>
      </c>
      <c r="E90" t="s">
        <v>16</v>
      </c>
      <c r="F90">
        <v>399</v>
      </c>
      <c r="G90" s="1">
        <v>45444.491666666669</v>
      </c>
      <c r="H90" s="1">
        <v>45444.549305555556</v>
      </c>
      <c r="I90" s="1">
        <v>45445.299305555556</v>
      </c>
      <c r="J90">
        <v>16.57</v>
      </c>
      <c r="K90" t="s">
        <v>30</v>
      </c>
      <c r="L90">
        <v>12</v>
      </c>
      <c r="M90">
        <f>(Analysis[[#This Row],[delivery_time]]-Analysis[[#This Row],[pickup_time]])*24</f>
        <v>18</v>
      </c>
      <c r="N90">
        <f>(Analysis[[#This Row],[delivery_time]]-Analysis[[#This Row],[accept_time]])*24</f>
        <v>19.383333333302289</v>
      </c>
      <c r="O90">
        <f>(Analysis[[#This Row],[pickup_time]]-Analysis[[#This Row],[accept_time]])*24</f>
        <v>1.3833333333022892</v>
      </c>
      <c r="P90" t="str">
        <f>IF(Analysis[[#This Row],[Total_Delivery_Hours]]&gt;Analysis[[#This Row],[sla_delivery_hrs]], "Breach", "OK")</f>
        <v>Breach</v>
      </c>
      <c r="Q90">
        <f>IF(Analysis[[#This Row],[delay_reason]]="None", 0,1)</f>
        <v>1</v>
      </c>
    </row>
    <row r="91" spans="1:17" x14ac:dyDescent="0.25">
      <c r="A91" t="s">
        <v>157</v>
      </c>
      <c r="B91" t="s">
        <v>158</v>
      </c>
      <c r="C91" t="s">
        <v>45</v>
      </c>
      <c r="D91" t="s">
        <v>46</v>
      </c>
      <c r="E91" t="s">
        <v>34</v>
      </c>
      <c r="F91">
        <v>499</v>
      </c>
      <c r="G91" s="1">
        <v>45444.648611111108</v>
      </c>
      <c r="H91" s="1">
        <v>45444.672222222223</v>
      </c>
      <c r="I91" s="1">
        <v>45445.130555555559</v>
      </c>
      <c r="J91">
        <v>20.94</v>
      </c>
      <c r="K91" t="s">
        <v>17</v>
      </c>
      <c r="L91">
        <v>12</v>
      </c>
      <c r="M91">
        <f>(Analysis[[#This Row],[delivery_time]]-Analysis[[#This Row],[pickup_time]])*24</f>
        <v>11.000000000058208</v>
      </c>
      <c r="N91">
        <f>(Analysis[[#This Row],[delivery_time]]-Analysis[[#This Row],[accept_time]])*24</f>
        <v>11.566666666825768</v>
      </c>
      <c r="O91">
        <f>(Analysis[[#This Row],[pickup_time]]-Analysis[[#This Row],[accept_time]])*24</f>
        <v>0.56666666676755995</v>
      </c>
      <c r="P91" t="str">
        <f>IF(Analysis[[#This Row],[Total_Delivery_Hours]]&gt;Analysis[[#This Row],[sla_delivery_hrs]], "Breach", "OK")</f>
        <v>OK</v>
      </c>
      <c r="Q91">
        <f>IF(Analysis[[#This Row],[delay_reason]]="None", 0,1)</f>
        <v>1</v>
      </c>
    </row>
    <row r="92" spans="1:17" x14ac:dyDescent="0.25">
      <c r="A92" t="s">
        <v>159</v>
      </c>
      <c r="B92" t="s">
        <v>127</v>
      </c>
      <c r="C92" t="s">
        <v>37</v>
      </c>
      <c r="D92" t="s">
        <v>38</v>
      </c>
      <c r="E92" t="s">
        <v>68</v>
      </c>
      <c r="F92">
        <v>1999</v>
      </c>
      <c r="G92" s="1">
        <v>45444.410416666666</v>
      </c>
      <c r="H92" s="1">
        <v>45444.435416666667</v>
      </c>
      <c r="I92" s="1">
        <v>45445.102083333331</v>
      </c>
      <c r="J92">
        <v>8.6999999999999993</v>
      </c>
      <c r="K92" t="s">
        <v>30</v>
      </c>
      <c r="L92">
        <v>12</v>
      </c>
      <c r="M92">
        <f>(Analysis[[#This Row],[delivery_time]]-Analysis[[#This Row],[pickup_time]])*24</f>
        <v>15.999999999941792</v>
      </c>
      <c r="N92">
        <f>(Analysis[[#This Row],[delivery_time]]-Analysis[[#This Row],[accept_time]])*24</f>
        <v>16.599999999976717</v>
      </c>
      <c r="O92">
        <f>(Analysis[[#This Row],[pickup_time]]-Analysis[[#This Row],[accept_time]])*24</f>
        <v>0.6000000000349246</v>
      </c>
      <c r="P92" t="str">
        <f>IF(Analysis[[#This Row],[Total_Delivery_Hours]]&gt;Analysis[[#This Row],[sla_delivery_hrs]], "Breach", "OK")</f>
        <v>Breach</v>
      </c>
      <c r="Q92">
        <f>IF(Analysis[[#This Row],[delay_reason]]="None", 0,1)</f>
        <v>1</v>
      </c>
    </row>
    <row r="93" spans="1:17" x14ac:dyDescent="0.25">
      <c r="A93" t="s">
        <v>160</v>
      </c>
      <c r="B93" t="s">
        <v>84</v>
      </c>
      <c r="C93" t="s">
        <v>45</v>
      </c>
      <c r="D93" t="s">
        <v>46</v>
      </c>
      <c r="E93" t="s">
        <v>22</v>
      </c>
      <c r="F93">
        <v>1999</v>
      </c>
      <c r="G93" s="1">
        <v>45444.383333333331</v>
      </c>
      <c r="H93" s="1">
        <v>45444.404861111114</v>
      </c>
      <c r="I93" s="1">
        <v>45444.821527777778</v>
      </c>
      <c r="J93">
        <v>24.8</v>
      </c>
      <c r="K93" t="s">
        <v>53</v>
      </c>
      <c r="L93">
        <v>12</v>
      </c>
      <c r="M93">
        <f>(Analysis[[#This Row],[delivery_time]]-Analysis[[#This Row],[pickup_time]])*24</f>
        <v>9.9999999999417923</v>
      </c>
      <c r="N93">
        <f>(Analysis[[#This Row],[delivery_time]]-Analysis[[#This Row],[accept_time]])*24</f>
        <v>10.516666666720994</v>
      </c>
      <c r="O93">
        <f>(Analysis[[#This Row],[pickup_time]]-Analysis[[#This Row],[accept_time]])*24</f>
        <v>0.51666666677920148</v>
      </c>
      <c r="P93" t="str">
        <f>IF(Analysis[[#This Row],[Total_Delivery_Hours]]&gt;Analysis[[#This Row],[sla_delivery_hrs]], "Breach", "OK")</f>
        <v>OK</v>
      </c>
      <c r="Q93">
        <f>IF(Analysis[[#This Row],[delay_reason]]="None", 0,1)</f>
        <v>0</v>
      </c>
    </row>
    <row r="94" spans="1:17" x14ac:dyDescent="0.25">
      <c r="A94" t="s">
        <v>161</v>
      </c>
      <c r="B94" t="s">
        <v>44</v>
      </c>
      <c r="C94" t="s">
        <v>20</v>
      </c>
      <c r="D94" t="s">
        <v>21</v>
      </c>
      <c r="E94" t="s">
        <v>22</v>
      </c>
      <c r="F94">
        <v>199</v>
      </c>
      <c r="G94" s="1">
        <v>45444.513888888891</v>
      </c>
      <c r="H94" s="1">
        <v>45444.573611111111</v>
      </c>
      <c r="I94" s="1">
        <v>45445.240277777775</v>
      </c>
      <c r="J94">
        <v>23.31</v>
      </c>
      <c r="K94" t="s">
        <v>23</v>
      </c>
      <c r="L94">
        <v>12</v>
      </c>
      <c r="M94">
        <f>(Analysis[[#This Row],[delivery_time]]-Analysis[[#This Row],[pickup_time]])*24</f>
        <v>15.999999999941792</v>
      </c>
      <c r="N94">
        <f>(Analysis[[#This Row],[delivery_time]]-Analysis[[#This Row],[accept_time]])*24</f>
        <v>17.43333333323244</v>
      </c>
      <c r="O94">
        <f>(Analysis[[#This Row],[pickup_time]]-Analysis[[#This Row],[accept_time]])*24</f>
        <v>1.4333333332906477</v>
      </c>
      <c r="P94" t="str">
        <f>IF(Analysis[[#This Row],[Total_Delivery_Hours]]&gt;Analysis[[#This Row],[sla_delivery_hrs]], "Breach", "OK")</f>
        <v>Breach</v>
      </c>
      <c r="Q94">
        <f>IF(Analysis[[#This Row],[delay_reason]]="None", 0,1)</f>
        <v>1</v>
      </c>
    </row>
    <row r="95" spans="1:17" x14ac:dyDescent="0.25">
      <c r="A95" t="s">
        <v>162</v>
      </c>
      <c r="B95" t="s">
        <v>81</v>
      </c>
      <c r="C95" t="s">
        <v>41</v>
      </c>
      <c r="D95" t="s">
        <v>42</v>
      </c>
      <c r="E95" t="s">
        <v>34</v>
      </c>
      <c r="F95">
        <v>1299</v>
      </c>
      <c r="G95" s="1">
        <v>45444.714583333334</v>
      </c>
      <c r="H95" s="1">
        <v>45444.784722222219</v>
      </c>
      <c r="I95" s="1">
        <v>45445.326388888891</v>
      </c>
      <c r="J95">
        <v>10.81</v>
      </c>
      <c r="K95" t="s">
        <v>53</v>
      </c>
      <c r="L95">
        <v>12</v>
      </c>
      <c r="M95">
        <f>(Analysis[[#This Row],[delivery_time]]-Analysis[[#This Row],[pickup_time]])*24</f>
        <v>13.000000000116415</v>
      </c>
      <c r="N95">
        <f>(Analysis[[#This Row],[delivery_time]]-Analysis[[#This Row],[accept_time]])*24</f>
        <v>14.683333333348855</v>
      </c>
      <c r="O95">
        <f>(Analysis[[#This Row],[pickup_time]]-Analysis[[#This Row],[accept_time]])*24</f>
        <v>1.6833333332324401</v>
      </c>
      <c r="P95" t="str">
        <f>IF(Analysis[[#This Row],[Total_Delivery_Hours]]&gt;Analysis[[#This Row],[sla_delivery_hrs]], "Breach", "OK")</f>
        <v>Breach</v>
      </c>
      <c r="Q95">
        <f>IF(Analysis[[#This Row],[delay_reason]]="None", 0,1)</f>
        <v>0</v>
      </c>
    </row>
    <row r="96" spans="1:17" x14ac:dyDescent="0.25">
      <c r="A96" t="s">
        <v>163</v>
      </c>
      <c r="B96" t="s">
        <v>44</v>
      </c>
      <c r="C96" t="s">
        <v>45</v>
      </c>
      <c r="D96" t="s">
        <v>46</v>
      </c>
      <c r="E96" t="s">
        <v>26</v>
      </c>
      <c r="F96">
        <v>199</v>
      </c>
      <c r="G96" s="1">
        <v>45444.740972222222</v>
      </c>
      <c r="H96" s="1">
        <v>45444.783333333333</v>
      </c>
      <c r="I96" s="1">
        <v>45445.074999999997</v>
      </c>
      <c r="J96">
        <v>13.37</v>
      </c>
      <c r="K96" t="s">
        <v>17</v>
      </c>
      <c r="L96">
        <v>12</v>
      </c>
      <c r="M96">
        <f>(Analysis[[#This Row],[delivery_time]]-Analysis[[#This Row],[pickup_time]])*24</f>
        <v>6.9999999999417923</v>
      </c>
      <c r="N96">
        <f>(Analysis[[#This Row],[delivery_time]]-Analysis[[#This Row],[accept_time]])*24</f>
        <v>8.0166666666045785</v>
      </c>
      <c r="O96">
        <f>(Analysis[[#This Row],[pickup_time]]-Analysis[[#This Row],[accept_time]])*24</f>
        <v>1.0166666666627862</v>
      </c>
      <c r="P96" t="str">
        <f>IF(Analysis[[#This Row],[Total_Delivery_Hours]]&gt;Analysis[[#This Row],[sla_delivery_hrs]], "Breach", "OK")</f>
        <v>OK</v>
      </c>
      <c r="Q96">
        <f>IF(Analysis[[#This Row],[delay_reason]]="None", 0,1)</f>
        <v>1</v>
      </c>
    </row>
    <row r="97" spans="1:17" x14ac:dyDescent="0.25">
      <c r="A97" t="s">
        <v>164</v>
      </c>
      <c r="B97" t="s">
        <v>84</v>
      </c>
      <c r="C97" t="s">
        <v>37</v>
      </c>
      <c r="D97" t="s">
        <v>38</v>
      </c>
      <c r="E97" t="s">
        <v>34</v>
      </c>
      <c r="F97">
        <v>699</v>
      </c>
      <c r="G97" s="1">
        <v>45444.611111111109</v>
      </c>
      <c r="H97" s="1">
        <v>45444.665972222225</v>
      </c>
      <c r="I97" s="1">
        <v>45444.832638888889</v>
      </c>
      <c r="J97">
        <v>18.88</v>
      </c>
      <c r="K97" t="s">
        <v>17</v>
      </c>
      <c r="L97">
        <v>12</v>
      </c>
      <c r="M97">
        <f>(Analysis[[#This Row],[delivery_time]]-Analysis[[#This Row],[pickup_time]])*24</f>
        <v>3.9999999999417923</v>
      </c>
      <c r="N97">
        <f>(Analysis[[#This Row],[delivery_time]]-Analysis[[#This Row],[accept_time]])*24</f>
        <v>5.3166666667093523</v>
      </c>
      <c r="O97">
        <f>(Analysis[[#This Row],[pickup_time]]-Analysis[[#This Row],[accept_time]])*24</f>
        <v>1.3166666667675599</v>
      </c>
      <c r="P97" t="str">
        <f>IF(Analysis[[#This Row],[Total_Delivery_Hours]]&gt;Analysis[[#This Row],[sla_delivery_hrs]], "Breach", "OK")</f>
        <v>OK</v>
      </c>
      <c r="Q97">
        <f>IF(Analysis[[#This Row],[delay_reason]]="None", 0,1)</f>
        <v>1</v>
      </c>
    </row>
    <row r="98" spans="1:17" x14ac:dyDescent="0.25">
      <c r="A98" t="s">
        <v>165</v>
      </c>
      <c r="B98" t="s">
        <v>62</v>
      </c>
      <c r="C98" t="s">
        <v>37</v>
      </c>
      <c r="D98" t="s">
        <v>38</v>
      </c>
      <c r="E98" t="s">
        <v>22</v>
      </c>
      <c r="F98">
        <v>699</v>
      </c>
      <c r="G98" s="1">
        <v>45444.456944444442</v>
      </c>
      <c r="H98" s="1">
        <v>45444.475694444445</v>
      </c>
      <c r="I98" s="1">
        <v>45445.267361111109</v>
      </c>
      <c r="J98">
        <v>17.5</v>
      </c>
      <c r="K98" t="s">
        <v>23</v>
      </c>
      <c r="L98">
        <v>12</v>
      </c>
      <c r="M98">
        <f>(Analysis[[#This Row],[delivery_time]]-Analysis[[#This Row],[pickup_time]])*24</f>
        <v>18.999999999941792</v>
      </c>
      <c r="N98">
        <f>(Analysis[[#This Row],[delivery_time]]-Analysis[[#This Row],[accept_time]])*24</f>
        <v>19.450000000011642</v>
      </c>
      <c r="O98">
        <f>(Analysis[[#This Row],[pickup_time]]-Analysis[[#This Row],[accept_time]])*24</f>
        <v>0.45000000006984919</v>
      </c>
      <c r="P98" t="str">
        <f>IF(Analysis[[#This Row],[Total_Delivery_Hours]]&gt;Analysis[[#This Row],[sla_delivery_hrs]], "Breach", "OK")</f>
        <v>Breach</v>
      </c>
      <c r="Q98">
        <f>IF(Analysis[[#This Row],[delay_reason]]="None", 0,1)</f>
        <v>1</v>
      </c>
    </row>
    <row r="99" spans="1:17" x14ac:dyDescent="0.25">
      <c r="A99" t="s">
        <v>166</v>
      </c>
      <c r="B99" t="s">
        <v>36</v>
      </c>
      <c r="C99" t="s">
        <v>41</v>
      </c>
      <c r="D99" t="s">
        <v>42</v>
      </c>
      <c r="E99" t="s">
        <v>16</v>
      </c>
      <c r="F99">
        <v>499</v>
      </c>
      <c r="G99" s="1">
        <v>45444.394444444442</v>
      </c>
      <c r="H99" s="1">
        <v>45444.470138888886</v>
      </c>
      <c r="I99" s="1">
        <v>45445.011805555558</v>
      </c>
      <c r="J99">
        <v>10.6</v>
      </c>
      <c r="K99" t="s">
        <v>30</v>
      </c>
      <c r="L99">
        <v>12</v>
      </c>
      <c r="M99">
        <f>(Analysis[[#This Row],[delivery_time]]-Analysis[[#This Row],[pickup_time]])*24</f>
        <v>13.000000000116415</v>
      </c>
      <c r="N99">
        <f>(Analysis[[#This Row],[delivery_time]]-Analysis[[#This Row],[accept_time]])*24</f>
        <v>14.81666666676756</v>
      </c>
      <c r="O99">
        <f>(Analysis[[#This Row],[pickup_time]]-Analysis[[#This Row],[accept_time]])*24</f>
        <v>1.8166666666511446</v>
      </c>
      <c r="P99" t="str">
        <f>IF(Analysis[[#This Row],[Total_Delivery_Hours]]&gt;Analysis[[#This Row],[sla_delivery_hrs]], "Breach", "OK")</f>
        <v>Breach</v>
      </c>
      <c r="Q99">
        <f>IF(Analysis[[#This Row],[delay_reason]]="None", 0,1)</f>
        <v>1</v>
      </c>
    </row>
    <row r="100" spans="1:17" x14ac:dyDescent="0.25">
      <c r="A100" t="s">
        <v>167</v>
      </c>
      <c r="B100" t="s">
        <v>104</v>
      </c>
      <c r="C100" t="s">
        <v>14</v>
      </c>
      <c r="D100" t="s">
        <v>15</v>
      </c>
      <c r="E100" t="s">
        <v>68</v>
      </c>
      <c r="F100">
        <v>1999</v>
      </c>
      <c r="G100" s="1">
        <v>45444.475694444445</v>
      </c>
      <c r="H100" s="1">
        <v>45444.495138888888</v>
      </c>
      <c r="I100" s="1">
        <v>45444.995138888888</v>
      </c>
      <c r="J100">
        <v>10.89</v>
      </c>
      <c r="K100" t="s">
        <v>17</v>
      </c>
      <c r="L100">
        <v>12</v>
      </c>
      <c r="M100">
        <f>(Analysis[[#This Row],[delivery_time]]-Analysis[[#This Row],[pickup_time]])*24</f>
        <v>12</v>
      </c>
      <c r="N100">
        <f>(Analysis[[#This Row],[delivery_time]]-Analysis[[#This Row],[accept_time]])*24</f>
        <v>12.46666666661622</v>
      </c>
      <c r="O100">
        <f>(Analysis[[#This Row],[pickup_time]]-Analysis[[#This Row],[accept_time]])*24</f>
        <v>0.46666666661622003</v>
      </c>
      <c r="P100" t="str">
        <f>IF(Analysis[[#This Row],[Total_Delivery_Hours]]&gt;Analysis[[#This Row],[sla_delivery_hrs]], "Breach", "OK")</f>
        <v>OK</v>
      </c>
      <c r="Q100">
        <f>IF(Analysis[[#This Row],[delay_reason]]="None", 0,1)</f>
        <v>1</v>
      </c>
    </row>
    <row r="101" spans="1:17" x14ac:dyDescent="0.25">
      <c r="A101" t="s">
        <v>168</v>
      </c>
      <c r="B101" t="s">
        <v>88</v>
      </c>
      <c r="C101" t="s">
        <v>41</v>
      </c>
      <c r="D101" t="s">
        <v>42</v>
      </c>
      <c r="E101" t="s">
        <v>29</v>
      </c>
      <c r="F101">
        <v>299</v>
      </c>
      <c r="G101" s="1">
        <v>45444.625</v>
      </c>
      <c r="H101" s="1">
        <v>45444.688194444447</v>
      </c>
      <c r="I101" s="1">
        <v>45444.854861111111</v>
      </c>
      <c r="J101">
        <v>16.57</v>
      </c>
      <c r="K101" t="s">
        <v>17</v>
      </c>
      <c r="L101">
        <v>12</v>
      </c>
      <c r="M101">
        <f>(Analysis[[#This Row],[delivery_time]]-Analysis[[#This Row],[pickup_time]])*24</f>
        <v>3.9999999999417923</v>
      </c>
      <c r="N101">
        <f>(Analysis[[#This Row],[delivery_time]]-Analysis[[#This Row],[accept_time]])*24</f>
        <v>5.5166666666627862</v>
      </c>
      <c r="O101">
        <f>(Analysis[[#This Row],[pickup_time]]-Analysis[[#This Row],[accept_time]])*24</f>
        <v>1.5166666667209938</v>
      </c>
      <c r="P101" t="str">
        <f>IF(Analysis[[#This Row],[Total_Delivery_Hours]]&gt;Analysis[[#This Row],[sla_delivery_hrs]], "Breach", "OK")</f>
        <v>OK</v>
      </c>
      <c r="Q101">
        <f>IF(Analysis[[#This Row],[delay_reason]]="None", 0,1)</f>
        <v>1</v>
      </c>
    </row>
    <row r="102" spans="1:17" x14ac:dyDescent="0.25">
      <c r="A102" t="s">
        <v>169</v>
      </c>
      <c r="B102" t="s">
        <v>55</v>
      </c>
      <c r="C102" t="s">
        <v>41</v>
      </c>
      <c r="D102" t="s">
        <v>42</v>
      </c>
      <c r="E102" t="s">
        <v>68</v>
      </c>
      <c r="F102">
        <v>1499</v>
      </c>
      <c r="G102" s="1">
        <v>45444.775694444441</v>
      </c>
      <c r="H102" s="1">
        <v>45444.851388888892</v>
      </c>
      <c r="I102" s="1">
        <v>45445.393055555556</v>
      </c>
      <c r="J102">
        <v>8.0299999999999994</v>
      </c>
      <c r="K102" t="s">
        <v>30</v>
      </c>
      <c r="L102">
        <v>12</v>
      </c>
      <c r="M102">
        <f>(Analysis[[#This Row],[delivery_time]]-Analysis[[#This Row],[pickup_time]])*24</f>
        <v>12.999999999941792</v>
      </c>
      <c r="N102">
        <f>(Analysis[[#This Row],[delivery_time]]-Analysis[[#This Row],[accept_time]])*24</f>
        <v>14.81666666676756</v>
      </c>
      <c r="O102">
        <f>(Analysis[[#This Row],[pickup_time]]-Analysis[[#This Row],[accept_time]])*24</f>
        <v>1.8166666668257676</v>
      </c>
      <c r="P102" t="str">
        <f>IF(Analysis[[#This Row],[Total_Delivery_Hours]]&gt;Analysis[[#This Row],[sla_delivery_hrs]], "Breach", "OK")</f>
        <v>Breach</v>
      </c>
      <c r="Q102">
        <f>IF(Analysis[[#This Row],[delay_reason]]="None", 0,1)</f>
        <v>1</v>
      </c>
    </row>
    <row r="103" spans="1:17" x14ac:dyDescent="0.25">
      <c r="A103" t="s">
        <v>170</v>
      </c>
      <c r="B103" t="s">
        <v>114</v>
      </c>
      <c r="C103" t="s">
        <v>20</v>
      </c>
      <c r="D103" t="s">
        <v>21</v>
      </c>
      <c r="E103" t="s">
        <v>68</v>
      </c>
      <c r="F103">
        <v>499</v>
      </c>
      <c r="G103" s="1">
        <v>45444.623611111114</v>
      </c>
      <c r="H103" s="1">
        <v>45444.652083333334</v>
      </c>
      <c r="I103" s="1">
        <v>45445.193749999999</v>
      </c>
      <c r="J103">
        <v>21.17</v>
      </c>
      <c r="K103" t="s">
        <v>30</v>
      </c>
      <c r="L103">
        <v>12</v>
      </c>
      <c r="M103">
        <f>(Analysis[[#This Row],[delivery_time]]-Analysis[[#This Row],[pickup_time]])*24</f>
        <v>12.999999999941792</v>
      </c>
      <c r="N103">
        <f>(Analysis[[#This Row],[delivery_time]]-Analysis[[#This Row],[accept_time]])*24</f>
        <v>13.68333333323244</v>
      </c>
      <c r="O103">
        <f>(Analysis[[#This Row],[pickup_time]]-Analysis[[#This Row],[accept_time]])*24</f>
        <v>0.68333333329064772</v>
      </c>
      <c r="P103" t="str">
        <f>IF(Analysis[[#This Row],[Total_Delivery_Hours]]&gt;Analysis[[#This Row],[sla_delivery_hrs]], "Breach", "OK")</f>
        <v>Breach</v>
      </c>
      <c r="Q103">
        <f>IF(Analysis[[#This Row],[delay_reason]]="None", 0,1)</f>
        <v>1</v>
      </c>
    </row>
    <row r="104" spans="1:17" x14ac:dyDescent="0.25">
      <c r="A104" t="s">
        <v>171</v>
      </c>
      <c r="B104" t="s">
        <v>64</v>
      </c>
      <c r="C104" t="s">
        <v>37</v>
      </c>
      <c r="D104" t="s">
        <v>38</v>
      </c>
      <c r="E104" t="s">
        <v>26</v>
      </c>
      <c r="F104">
        <v>299</v>
      </c>
      <c r="G104" s="1">
        <v>45444.445138888892</v>
      </c>
      <c r="H104" s="1">
        <v>45444.504166666666</v>
      </c>
      <c r="I104" s="1">
        <v>45445.254166666666</v>
      </c>
      <c r="J104">
        <v>19.260000000000002</v>
      </c>
      <c r="K104" t="s">
        <v>23</v>
      </c>
      <c r="L104">
        <v>12</v>
      </c>
      <c r="M104">
        <f>(Analysis[[#This Row],[delivery_time]]-Analysis[[#This Row],[pickup_time]])*24</f>
        <v>18</v>
      </c>
      <c r="N104">
        <f>(Analysis[[#This Row],[delivery_time]]-Analysis[[#This Row],[accept_time]])*24</f>
        <v>19.416666666569654</v>
      </c>
      <c r="O104">
        <f>(Analysis[[#This Row],[pickup_time]]-Analysis[[#This Row],[accept_time]])*24</f>
        <v>1.4166666665696539</v>
      </c>
      <c r="P104" t="str">
        <f>IF(Analysis[[#This Row],[Total_Delivery_Hours]]&gt;Analysis[[#This Row],[sla_delivery_hrs]], "Breach", "OK")</f>
        <v>Breach</v>
      </c>
      <c r="Q104">
        <f>IF(Analysis[[#This Row],[delay_reason]]="None", 0,1)</f>
        <v>1</v>
      </c>
    </row>
    <row r="105" spans="1:17" x14ac:dyDescent="0.25">
      <c r="A105" t="s">
        <v>172</v>
      </c>
      <c r="B105" t="s">
        <v>13</v>
      </c>
      <c r="C105" t="s">
        <v>20</v>
      </c>
      <c r="D105" t="s">
        <v>21</v>
      </c>
      <c r="E105" t="s">
        <v>34</v>
      </c>
      <c r="F105">
        <v>899</v>
      </c>
      <c r="G105" s="1">
        <v>45444.604166666664</v>
      </c>
      <c r="H105" s="1">
        <v>45444.661805555559</v>
      </c>
      <c r="I105" s="1">
        <v>45445.078472222223</v>
      </c>
      <c r="J105">
        <v>23.38</v>
      </c>
      <c r="K105" t="s">
        <v>53</v>
      </c>
      <c r="L105">
        <v>12</v>
      </c>
      <c r="M105">
        <f>(Analysis[[#This Row],[delivery_time]]-Analysis[[#This Row],[pickup_time]])*24</f>
        <v>9.9999999999417923</v>
      </c>
      <c r="N105">
        <f>(Analysis[[#This Row],[delivery_time]]-Analysis[[#This Row],[accept_time]])*24</f>
        <v>11.383333333418705</v>
      </c>
      <c r="O105">
        <f>(Analysis[[#This Row],[pickup_time]]-Analysis[[#This Row],[accept_time]])*24</f>
        <v>1.3833333334769122</v>
      </c>
      <c r="P105" t="str">
        <f>IF(Analysis[[#This Row],[Total_Delivery_Hours]]&gt;Analysis[[#This Row],[sla_delivery_hrs]], "Breach", "OK")</f>
        <v>OK</v>
      </c>
      <c r="Q105">
        <f>IF(Analysis[[#This Row],[delay_reason]]="None", 0,1)</f>
        <v>0</v>
      </c>
    </row>
    <row r="106" spans="1:17" x14ac:dyDescent="0.25">
      <c r="A106" t="s">
        <v>173</v>
      </c>
      <c r="B106" t="s">
        <v>50</v>
      </c>
      <c r="C106" t="s">
        <v>45</v>
      </c>
      <c r="D106" t="s">
        <v>46</v>
      </c>
      <c r="E106" t="s">
        <v>34</v>
      </c>
      <c r="F106">
        <v>499</v>
      </c>
      <c r="G106" s="1">
        <v>45444.655555555553</v>
      </c>
      <c r="H106" s="1">
        <v>45444.722222222219</v>
      </c>
      <c r="I106" s="1">
        <v>45444.972222222219</v>
      </c>
      <c r="J106">
        <v>24.3</v>
      </c>
      <c r="K106" t="s">
        <v>23</v>
      </c>
      <c r="L106">
        <v>12</v>
      </c>
      <c r="M106">
        <f>(Analysis[[#This Row],[delivery_time]]-Analysis[[#This Row],[pickup_time]])*24</f>
        <v>6</v>
      </c>
      <c r="N106">
        <f>(Analysis[[#This Row],[delivery_time]]-Analysis[[#This Row],[accept_time]])*24</f>
        <v>7.5999999999767169</v>
      </c>
      <c r="O106">
        <f>(Analysis[[#This Row],[pickup_time]]-Analysis[[#This Row],[accept_time]])*24</f>
        <v>1.5999999999767169</v>
      </c>
      <c r="P106" t="str">
        <f>IF(Analysis[[#This Row],[Total_Delivery_Hours]]&gt;Analysis[[#This Row],[sla_delivery_hrs]], "Breach", "OK")</f>
        <v>OK</v>
      </c>
      <c r="Q106">
        <f>IF(Analysis[[#This Row],[delay_reason]]="None", 0,1)</f>
        <v>1</v>
      </c>
    </row>
    <row r="107" spans="1:17" x14ac:dyDescent="0.25">
      <c r="A107" t="s">
        <v>174</v>
      </c>
      <c r="B107" t="s">
        <v>175</v>
      </c>
      <c r="C107" t="s">
        <v>45</v>
      </c>
      <c r="D107" t="s">
        <v>46</v>
      </c>
      <c r="E107" t="s">
        <v>29</v>
      </c>
      <c r="F107">
        <v>899</v>
      </c>
      <c r="G107" s="1">
        <v>45444.590277777781</v>
      </c>
      <c r="H107" s="1">
        <v>45444.629861111112</v>
      </c>
      <c r="I107" s="1">
        <v>45444.838194444441</v>
      </c>
      <c r="J107">
        <v>24.03</v>
      </c>
      <c r="K107" t="s">
        <v>30</v>
      </c>
      <c r="L107">
        <v>12</v>
      </c>
      <c r="M107">
        <f>(Analysis[[#This Row],[delivery_time]]-Analysis[[#This Row],[pickup_time]])*24</f>
        <v>4.9999999998835847</v>
      </c>
      <c r="N107">
        <f>(Analysis[[#This Row],[delivery_time]]-Analysis[[#This Row],[accept_time]])*24</f>
        <v>5.9499999998370185</v>
      </c>
      <c r="O107">
        <f>(Analysis[[#This Row],[pickup_time]]-Analysis[[#This Row],[accept_time]])*24</f>
        <v>0.94999999995343387</v>
      </c>
      <c r="P107" t="str">
        <f>IF(Analysis[[#This Row],[Total_Delivery_Hours]]&gt;Analysis[[#This Row],[sla_delivery_hrs]], "Breach", "OK")</f>
        <v>OK</v>
      </c>
      <c r="Q107">
        <f>IF(Analysis[[#This Row],[delay_reason]]="None", 0,1)</f>
        <v>1</v>
      </c>
    </row>
    <row r="108" spans="1:17" x14ac:dyDescent="0.25">
      <c r="A108" t="s">
        <v>176</v>
      </c>
      <c r="B108" t="s">
        <v>122</v>
      </c>
      <c r="C108" t="s">
        <v>20</v>
      </c>
      <c r="D108" t="s">
        <v>21</v>
      </c>
      <c r="E108" t="s">
        <v>68</v>
      </c>
      <c r="F108">
        <v>1499</v>
      </c>
      <c r="G108" s="1">
        <v>45444.679861111108</v>
      </c>
      <c r="H108" s="1">
        <v>45444.695833333331</v>
      </c>
      <c r="I108" s="1">
        <v>45445.445833333331</v>
      </c>
      <c r="J108">
        <v>18.559999999999999</v>
      </c>
      <c r="K108" t="s">
        <v>17</v>
      </c>
      <c r="L108">
        <v>12</v>
      </c>
      <c r="M108">
        <f>(Analysis[[#This Row],[delivery_time]]-Analysis[[#This Row],[pickup_time]])*24</f>
        <v>18</v>
      </c>
      <c r="N108">
        <f>(Analysis[[#This Row],[delivery_time]]-Analysis[[#This Row],[accept_time]])*24</f>
        <v>18.383333333360497</v>
      </c>
      <c r="O108">
        <f>(Analysis[[#This Row],[pickup_time]]-Analysis[[#This Row],[accept_time]])*24</f>
        <v>0.38333333336049691</v>
      </c>
      <c r="P108" t="str">
        <f>IF(Analysis[[#This Row],[Total_Delivery_Hours]]&gt;Analysis[[#This Row],[sla_delivery_hrs]], "Breach", "OK")</f>
        <v>Breach</v>
      </c>
      <c r="Q108">
        <f>IF(Analysis[[#This Row],[delay_reason]]="None", 0,1)</f>
        <v>1</v>
      </c>
    </row>
    <row r="109" spans="1:17" x14ac:dyDescent="0.25">
      <c r="A109" t="s">
        <v>177</v>
      </c>
      <c r="B109" t="s">
        <v>40</v>
      </c>
      <c r="C109" t="s">
        <v>14</v>
      </c>
      <c r="D109" t="s">
        <v>15</v>
      </c>
      <c r="E109" t="s">
        <v>68</v>
      </c>
      <c r="F109">
        <v>2499</v>
      </c>
      <c r="G109" s="1">
        <v>45444.548611111109</v>
      </c>
      <c r="H109" s="1">
        <v>45444.585416666669</v>
      </c>
      <c r="I109" s="1">
        <v>45445.293749999997</v>
      </c>
      <c r="J109">
        <v>14.46</v>
      </c>
      <c r="K109" t="s">
        <v>17</v>
      </c>
      <c r="L109">
        <v>12</v>
      </c>
      <c r="M109">
        <f>(Analysis[[#This Row],[delivery_time]]-Analysis[[#This Row],[pickup_time]])*24</f>
        <v>16.999999999883585</v>
      </c>
      <c r="N109">
        <f>(Analysis[[#This Row],[delivery_time]]-Analysis[[#This Row],[accept_time]])*24</f>
        <v>17.883333333302289</v>
      </c>
      <c r="O109">
        <f>(Analysis[[#This Row],[pickup_time]]-Analysis[[#This Row],[accept_time]])*24</f>
        <v>0.88333333341870457</v>
      </c>
      <c r="P109" t="str">
        <f>IF(Analysis[[#This Row],[Total_Delivery_Hours]]&gt;Analysis[[#This Row],[sla_delivery_hrs]], "Breach", "OK")</f>
        <v>Breach</v>
      </c>
      <c r="Q109">
        <f>IF(Analysis[[#This Row],[delay_reason]]="None", 0,1)</f>
        <v>1</v>
      </c>
    </row>
    <row r="110" spans="1:17" x14ac:dyDescent="0.25">
      <c r="A110" t="s">
        <v>178</v>
      </c>
      <c r="B110" t="s">
        <v>78</v>
      </c>
      <c r="C110" t="s">
        <v>37</v>
      </c>
      <c r="D110" t="s">
        <v>38</v>
      </c>
      <c r="E110" t="s">
        <v>34</v>
      </c>
      <c r="F110">
        <v>899</v>
      </c>
      <c r="G110" s="1">
        <v>45444.789583333331</v>
      </c>
      <c r="H110" s="1">
        <v>45444.8125</v>
      </c>
      <c r="I110" s="1">
        <v>45445.604166666664</v>
      </c>
      <c r="J110">
        <v>12.1</v>
      </c>
      <c r="K110" t="s">
        <v>30</v>
      </c>
      <c r="L110">
        <v>12</v>
      </c>
      <c r="M110">
        <f>(Analysis[[#This Row],[delivery_time]]-Analysis[[#This Row],[pickup_time]])*24</f>
        <v>18.999999999941792</v>
      </c>
      <c r="N110">
        <f>(Analysis[[#This Row],[delivery_time]]-Analysis[[#This Row],[accept_time]])*24</f>
        <v>19.549999999988358</v>
      </c>
      <c r="O110">
        <f>(Analysis[[#This Row],[pickup_time]]-Analysis[[#This Row],[accept_time]])*24</f>
        <v>0.55000000004656613</v>
      </c>
      <c r="P110" t="str">
        <f>IF(Analysis[[#This Row],[Total_Delivery_Hours]]&gt;Analysis[[#This Row],[sla_delivery_hrs]], "Breach", "OK")</f>
        <v>Breach</v>
      </c>
      <c r="Q110">
        <f>IF(Analysis[[#This Row],[delay_reason]]="None", 0,1)</f>
        <v>1</v>
      </c>
    </row>
    <row r="111" spans="1:17" x14ac:dyDescent="0.25">
      <c r="A111" t="s">
        <v>179</v>
      </c>
      <c r="B111" t="s">
        <v>180</v>
      </c>
      <c r="C111" t="s">
        <v>20</v>
      </c>
      <c r="D111" t="s">
        <v>21</v>
      </c>
      <c r="E111" t="s">
        <v>26</v>
      </c>
      <c r="F111">
        <v>1999</v>
      </c>
      <c r="G111" s="1">
        <v>45444.62222222222</v>
      </c>
      <c r="H111" s="1">
        <v>45444.636805555558</v>
      </c>
      <c r="I111" s="1">
        <v>45445.178472222222</v>
      </c>
      <c r="J111">
        <v>22.02</v>
      </c>
      <c r="K111" t="s">
        <v>30</v>
      </c>
      <c r="L111">
        <v>12</v>
      </c>
      <c r="M111">
        <f>(Analysis[[#This Row],[delivery_time]]-Analysis[[#This Row],[pickup_time]])*24</f>
        <v>12.999999999941792</v>
      </c>
      <c r="N111">
        <f>(Analysis[[#This Row],[delivery_time]]-Analysis[[#This Row],[accept_time]])*24</f>
        <v>13.350000000034925</v>
      </c>
      <c r="O111">
        <f>(Analysis[[#This Row],[pickup_time]]-Analysis[[#This Row],[accept_time]])*24</f>
        <v>0.35000000009313226</v>
      </c>
      <c r="P111" t="str">
        <f>IF(Analysis[[#This Row],[Total_Delivery_Hours]]&gt;Analysis[[#This Row],[sla_delivery_hrs]], "Breach", "OK")</f>
        <v>Breach</v>
      </c>
      <c r="Q111">
        <f>IF(Analysis[[#This Row],[delay_reason]]="None", 0,1)</f>
        <v>1</v>
      </c>
    </row>
    <row r="112" spans="1:17" x14ac:dyDescent="0.25">
      <c r="A112" t="s">
        <v>181</v>
      </c>
      <c r="B112" t="s">
        <v>94</v>
      </c>
      <c r="C112" t="s">
        <v>41</v>
      </c>
      <c r="D112" t="s">
        <v>42</v>
      </c>
      <c r="E112" t="s">
        <v>16</v>
      </c>
      <c r="F112">
        <v>1299</v>
      </c>
      <c r="G112" s="1">
        <v>45444.583333333336</v>
      </c>
      <c r="H112" s="1">
        <v>45444.65625</v>
      </c>
      <c r="I112" s="1">
        <v>45445.322916666664</v>
      </c>
      <c r="J112">
        <v>6.39</v>
      </c>
      <c r="K112" t="s">
        <v>17</v>
      </c>
      <c r="L112">
        <v>12</v>
      </c>
      <c r="M112">
        <f>(Analysis[[#This Row],[delivery_time]]-Analysis[[#This Row],[pickup_time]])*24</f>
        <v>15.999999999941792</v>
      </c>
      <c r="N112">
        <f>(Analysis[[#This Row],[delivery_time]]-Analysis[[#This Row],[accept_time]])*24</f>
        <v>17.749999999883585</v>
      </c>
      <c r="O112">
        <f>(Analysis[[#This Row],[pickup_time]]-Analysis[[#This Row],[accept_time]])*24</f>
        <v>1.7499999999417923</v>
      </c>
      <c r="P112" t="str">
        <f>IF(Analysis[[#This Row],[Total_Delivery_Hours]]&gt;Analysis[[#This Row],[sla_delivery_hrs]], "Breach", "OK")</f>
        <v>Breach</v>
      </c>
      <c r="Q112">
        <f>IF(Analysis[[#This Row],[delay_reason]]="None", 0,1)</f>
        <v>1</v>
      </c>
    </row>
    <row r="113" spans="1:17" x14ac:dyDescent="0.25">
      <c r="A113" t="s">
        <v>182</v>
      </c>
      <c r="B113" t="s">
        <v>70</v>
      </c>
      <c r="C113" t="s">
        <v>14</v>
      </c>
      <c r="D113" t="s">
        <v>15</v>
      </c>
      <c r="E113" t="s">
        <v>22</v>
      </c>
      <c r="F113">
        <v>299</v>
      </c>
      <c r="G113" s="1">
        <v>45444.497916666667</v>
      </c>
      <c r="H113" s="1">
        <v>45444.578472222223</v>
      </c>
      <c r="I113" s="1">
        <v>45444.870138888888</v>
      </c>
      <c r="J113">
        <v>17.3</v>
      </c>
      <c r="K113" t="s">
        <v>23</v>
      </c>
      <c r="L113">
        <v>12</v>
      </c>
      <c r="M113">
        <f>(Analysis[[#This Row],[delivery_time]]-Analysis[[#This Row],[pickup_time]])*24</f>
        <v>6.9999999999417923</v>
      </c>
      <c r="N113">
        <f>(Analysis[[#This Row],[delivery_time]]-Analysis[[#This Row],[accept_time]])*24</f>
        <v>8.9333333332906477</v>
      </c>
      <c r="O113">
        <f>(Analysis[[#This Row],[pickup_time]]-Analysis[[#This Row],[accept_time]])*24</f>
        <v>1.9333333333488554</v>
      </c>
      <c r="P113" t="str">
        <f>IF(Analysis[[#This Row],[Total_Delivery_Hours]]&gt;Analysis[[#This Row],[sla_delivery_hrs]], "Breach", "OK")</f>
        <v>OK</v>
      </c>
      <c r="Q113">
        <f>IF(Analysis[[#This Row],[delay_reason]]="None", 0,1)</f>
        <v>1</v>
      </c>
    </row>
    <row r="114" spans="1:17" x14ac:dyDescent="0.25">
      <c r="A114" t="s">
        <v>183</v>
      </c>
      <c r="B114" t="s">
        <v>175</v>
      </c>
      <c r="C114" t="s">
        <v>41</v>
      </c>
      <c r="D114" t="s">
        <v>42</v>
      </c>
      <c r="E114" t="s">
        <v>34</v>
      </c>
      <c r="F114">
        <v>199</v>
      </c>
      <c r="G114" s="1">
        <v>45444.538194444445</v>
      </c>
      <c r="H114" s="1">
        <v>45444.555555555555</v>
      </c>
      <c r="I114" s="1">
        <v>45444.888888888891</v>
      </c>
      <c r="J114">
        <v>11.1</v>
      </c>
      <c r="K114" t="s">
        <v>30</v>
      </c>
      <c r="L114">
        <v>12</v>
      </c>
      <c r="M114">
        <f>(Analysis[[#This Row],[delivery_time]]-Analysis[[#This Row],[pickup_time]])*24</f>
        <v>8.0000000000582077</v>
      </c>
      <c r="N114">
        <f>(Analysis[[#This Row],[delivery_time]]-Analysis[[#This Row],[accept_time]])*24</f>
        <v>8.4166666666860692</v>
      </c>
      <c r="O114">
        <f>(Analysis[[#This Row],[pickup_time]]-Analysis[[#This Row],[accept_time]])*24</f>
        <v>0.41666666662786156</v>
      </c>
      <c r="P114" t="str">
        <f>IF(Analysis[[#This Row],[Total_Delivery_Hours]]&gt;Analysis[[#This Row],[sla_delivery_hrs]], "Breach", "OK")</f>
        <v>OK</v>
      </c>
      <c r="Q114">
        <f>IF(Analysis[[#This Row],[delay_reason]]="None", 0,1)</f>
        <v>1</v>
      </c>
    </row>
    <row r="115" spans="1:17" x14ac:dyDescent="0.25">
      <c r="A115" t="s">
        <v>184</v>
      </c>
      <c r="B115" t="s">
        <v>94</v>
      </c>
      <c r="C115" t="s">
        <v>45</v>
      </c>
      <c r="D115" t="s">
        <v>46</v>
      </c>
      <c r="E115" t="s">
        <v>26</v>
      </c>
      <c r="F115">
        <v>499</v>
      </c>
      <c r="G115" s="1">
        <v>45444.440972222219</v>
      </c>
      <c r="H115" s="1">
        <v>45444.503472222219</v>
      </c>
      <c r="I115" s="1">
        <v>45444.920138888891</v>
      </c>
      <c r="J115">
        <v>5.79</v>
      </c>
      <c r="K115" t="s">
        <v>17</v>
      </c>
      <c r="L115">
        <v>12</v>
      </c>
      <c r="M115">
        <f>(Analysis[[#This Row],[delivery_time]]-Analysis[[#This Row],[pickup_time]])*24</f>
        <v>10.000000000116415</v>
      </c>
      <c r="N115">
        <f>(Analysis[[#This Row],[delivery_time]]-Analysis[[#This Row],[accept_time]])*24</f>
        <v>11.500000000116415</v>
      </c>
      <c r="O115">
        <f>(Analysis[[#This Row],[pickup_time]]-Analysis[[#This Row],[accept_time]])*24</f>
        <v>1.5</v>
      </c>
      <c r="P115" t="str">
        <f>IF(Analysis[[#This Row],[Total_Delivery_Hours]]&gt;Analysis[[#This Row],[sla_delivery_hrs]], "Breach", "OK")</f>
        <v>OK</v>
      </c>
      <c r="Q115">
        <f>IF(Analysis[[#This Row],[delay_reason]]="None", 0,1)</f>
        <v>1</v>
      </c>
    </row>
    <row r="116" spans="1:17" x14ac:dyDescent="0.25">
      <c r="A116" t="s">
        <v>185</v>
      </c>
      <c r="B116" t="s">
        <v>75</v>
      </c>
      <c r="C116" t="s">
        <v>20</v>
      </c>
      <c r="D116" t="s">
        <v>21</v>
      </c>
      <c r="E116" t="s">
        <v>22</v>
      </c>
      <c r="F116">
        <v>499</v>
      </c>
      <c r="G116" s="1">
        <v>45444.661805555559</v>
      </c>
      <c r="H116" s="1">
        <v>45444.742361111108</v>
      </c>
      <c r="I116" s="1">
        <v>45445.075694444444</v>
      </c>
      <c r="J116">
        <v>6.76</v>
      </c>
      <c r="K116" t="s">
        <v>17</v>
      </c>
      <c r="L116">
        <v>12</v>
      </c>
      <c r="M116">
        <f>(Analysis[[#This Row],[delivery_time]]-Analysis[[#This Row],[pickup_time]])*24</f>
        <v>8.0000000000582077</v>
      </c>
      <c r="N116">
        <f>(Analysis[[#This Row],[delivery_time]]-Analysis[[#This Row],[accept_time]])*24</f>
        <v>9.9333333332324401</v>
      </c>
      <c r="O116">
        <f>(Analysis[[#This Row],[pickup_time]]-Analysis[[#This Row],[accept_time]])*24</f>
        <v>1.9333333331742324</v>
      </c>
      <c r="P116" t="str">
        <f>IF(Analysis[[#This Row],[Total_Delivery_Hours]]&gt;Analysis[[#This Row],[sla_delivery_hrs]], "Breach", "OK")</f>
        <v>OK</v>
      </c>
      <c r="Q116">
        <f>IF(Analysis[[#This Row],[delay_reason]]="None", 0,1)</f>
        <v>1</v>
      </c>
    </row>
    <row r="117" spans="1:17" x14ac:dyDescent="0.25">
      <c r="A117" t="s">
        <v>186</v>
      </c>
      <c r="B117" t="s">
        <v>36</v>
      </c>
      <c r="C117" t="s">
        <v>41</v>
      </c>
      <c r="D117" t="s">
        <v>42</v>
      </c>
      <c r="E117" t="s">
        <v>29</v>
      </c>
      <c r="F117">
        <v>199</v>
      </c>
      <c r="G117" s="1">
        <v>45444.617361111108</v>
      </c>
      <c r="H117" s="1">
        <v>45444.678472222222</v>
      </c>
      <c r="I117" s="1">
        <v>45445.386805555558</v>
      </c>
      <c r="J117">
        <v>12.48</v>
      </c>
      <c r="K117" t="s">
        <v>23</v>
      </c>
      <c r="L117">
        <v>12</v>
      </c>
      <c r="M117">
        <f>(Analysis[[#This Row],[delivery_time]]-Analysis[[#This Row],[pickup_time]])*24</f>
        <v>17.000000000058208</v>
      </c>
      <c r="N117">
        <f>(Analysis[[#This Row],[delivery_time]]-Analysis[[#This Row],[accept_time]])*24</f>
        <v>18.466666666790843</v>
      </c>
      <c r="O117">
        <f>(Analysis[[#This Row],[pickup_time]]-Analysis[[#This Row],[accept_time]])*24</f>
        <v>1.4666666667326353</v>
      </c>
      <c r="P117" t="str">
        <f>IF(Analysis[[#This Row],[Total_Delivery_Hours]]&gt;Analysis[[#This Row],[sla_delivery_hrs]], "Breach", "OK")</f>
        <v>Breach</v>
      </c>
      <c r="Q117">
        <f>IF(Analysis[[#This Row],[delay_reason]]="None", 0,1)</f>
        <v>1</v>
      </c>
    </row>
    <row r="118" spans="1:17" x14ac:dyDescent="0.25">
      <c r="A118" t="s">
        <v>187</v>
      </c>
      <c r="B118" t="s">
        <v>156</v>
      </c>
      <c r="C118" t="s">
        <v>45</v>
      </c>
      <c r="D118" t="s">
        <v>46</v>
      </c>
      <c r="E118" t="s">
        <v>26</v>
      </c>
      <c r="F118">
        <v>199</v>
      </c>
      <c r="G118" s="1">
        <v>45444.78402777778</v>
      </c>
      <c r="H118" s="1">
        <v>45444.802083333336</v>
      </c>
      <c r="I118" s="1">
        <v>45445.59375</v>
      </c>
      <c r="J118">
        <v>6.67</v>
      </c>
      <c r="K118" t="s">
        <v>23</v>
      </c>
      <c r="L118">
        <v>12</v>
      </c>
      <c r="M118">
        <f>(Analysis[[#This Row],[delivery_time]]-Analysis[[#This Row],[pickup_time]])*24</f>
        <v>18.999999999941792</v>
      </c>
      <c r="N118">
        <f>(Analysis[[#This Row],[delivery_time]]-Analysis[[#This Row],[accept_time]])*24</f>
        <v>19.433333333290648</v>
      </c>
      <c r="O118">
        <f>(Analysis[[#This Row],[pickup_time]]-Analysis[[#This Row],[accept_time]])*24</f>
        <v>0.43333333334885538</v>
      </c>
      <c r="P118" t="str">
        <f>IF(Analysis[[#This Row],[Total_Delivery_Hours]]&gt;Analysis[[#This Row],[sla_delivery_hrs]], "Breach", "OK")</f>
        <v>Breach</v>
      </c>
      <c r="Q118">
        <f>IF(Analysis[[#This Row],[delay_reason]]="None", 0,1)</f>
        <v>1</v>
      </c>
    </row>
    <row r="119" spans="1:17" x14ac:dyDescent="0.25">
      <c r="A119" t="s">
        <v>188</v>
      </c>
      <c r="B119" t="s">
        <v>132</v>
      </c>
      <c r="C119" t="s">
        <v>14</v>
      </c>
      <c r="D119" t="s">
        <v>15</v>
      </c>
      <c r="E119" t="s">
        <v>22</v>
      </c>
      <c r="F119">
        <v>199</v>
      </c>
      <c r="G119" s="1">
        <v>45444.728472222225</v>
      </c>
      <c r="H119" s="1">
        <v>45444.800694444442</v>
      </c>
      <c r="I119" s="1">
        <v>45445.467361111114</v>
      </c>
      <c r="J119">
        <v>22.03</v>
      </c>
      <c r="K119" t="s">
        <v>53</v>
      </c>
      <c r="L119">
        <v>12</v>
      </c>
      <c r="M119">
        <f>(Analysis[[#This Row],[delivery_time]]-Analysis[[#This Row],[pickup_time]])*24</f>
        <v>16.000000000116415</v>
      </c>
      <c r="N119">
        <f>(Analysis[[#This Row],[delivery_time]]-Analysis[[#This Row],[accept_time]])*24</f>
        <v>17.733333333337214</v>
      </c>
      <c r="O119">
        <f>(Analysis[[#This Row],[pickup_time]]-Analysis[[#This Row],[accept_time]])*24</f>
        <v>1.7333333332207985</v>
      </c>
      <c r="P119" t="str">
        <f>IF(Analysis[[#This Row],[Total_Delivery_Hours]]&gt;Analysis[[#This Row],[sla_delivery_hrs]], "Breach", "OK")</f>
        <v>Breach</v>
      </c>
      <c r="Q119">
        <f>IF(Analysis[[#This Row],[delay_reason]]="None", 0,1)</f>
        <v>0</v>
      </c>
    </row>
    <row r="120" spans="1:17" x14ac:dyDescent="0.25">
      <c r="A120" t="s">
        <v>189</v>
      </c>
      <c r="B120" t="s">
        <v>66</v>
      </c>
      <c r="C120" t="s">
        <v>14</v>
      </c>
      <c r="D120" t="s">
        <v>15</v>
      </c>
      <c r="E120" t="s">
        <v>16</v>
      </c>
      <c r="F120">
        <v>499</v>
      </c>
      <c r="G120" s="1">
        <v>45444.379861111112</v>
      </c>
      <c r="H120" s="1">
        <v>45444.458333333336</v>
      </c>
      <c r="I120" s="1">
        <v>45445.125</v>
      </c>
      <c r="J120">
        <v>14.54</v>
      </c>
      <c r="K120" t="s">
        <v>23</v>
      </c>
      <c r="L120">
        <v>12</v>
      </c>
      <c r="M120">
        <f>(Analysis[[#This Row],[delivery_time]]-Analysis[[#This Row],[pickup_time]])*24</f>
        <v>15.999999999941792</v>
      </c>
      <c r="N120">
        <f>(Analysis[[#This Row],[delivery_time]]-Analysis[[#This Row],[accept_time]])*24</f>
        <v>17.883333333302289</v>
      </c>
      <c r="O120">
        <f>(Analysis[[#This Row],[pickup_time]]-Analysis[[#This Row],[accept_time]])*24</f>
        <v>1.8833333333604969</v>
      </c>
      <c r="P120" t="str">
        <f>IF(Analysis[[#This Row],[Total_Delivery_Hours]]&gt;Analysis[[#This Row],[sla_delivery_hrs]], "Breach", "OK")</f>
        <v>Breach</v>
      </c>
      <c r="Q120">
        <f>IF(Analysis[[#This Row],[delay_reason]]="None", 0,1)</f>
        <v>1</v>
      </c>
    </row>
    <row r="121" spans="1:17" x14ac:dyDescent="0.25">
      <c r="A121" t="s">
        <v>190</v>
      </c>
      <c r="B121" t="s">
        <v>158</v>
      </c>
      <c r="C121" t="s">
        <v>37</v>
      </c>
      <c r="D121" t="s">
        <v>38</v>
      </c>
      <c r="E121" t="s">
        <v>34</v>
      </c>
      <c r="F121">
        <v>2499</v>
      </c>
      <c r="G121" s="1">
        <v>45444.431944444441</v>
      </c>
      <c r="H121" s="1">
        <v>45444.465277777781</v>
      </c>
      <c r="I121" s="1">
        <v>45445.256944444445</v>
      </c>
      <c r="J121">
        <v>8.8000000000000007</v>
      </c>
      <c r="K121" t="s">
        <v>30</v>
      </c>
      <c r="L121">
        <v>12</v>
      </c>
      <c r="M121">
        <f>(Analysis[[#This Row],[delivery_time]]-Analysis[[#This Row],[pickup_time]])*24</f>
        <v>18.999999999941792</v>
      </c>
      <c r="N121">
        <f>(Analysis[[#This Row],[delivery_time]]-Analysis[[#This Row],[accept_time]])*24</f>
        <v>19.800000000104774</v>
      </c>
      <c r="O121">
        <f>(Analysis[[#This Row],[pickup_time]]-Analysis[[#This Row],[accept_time]])*24</f>
        <v>0.80000000016298145</v>
      </c>
      <c r="P121" t="str">
        <f>IF(Analysis[[#This Row],[Total_Delivery_Hours]]&gt;Analysis[[#This Row],[sla_delivery_hrs]], "Breach", "OK")</f>
        <v>Breach</v>
      </c>
      <c r="Q121">
        <f>IF(Analysis[[#This Row],[delay_reason]]="None", 0,1)</f>
        <v>1</v>
      </c>
    </row>
    <row r="122" spans="1:17" x14ac:dyDescent="0.25">
      <c r="A122" t="s">
        <v>191</v>
      </c>
      <c r="B122" t="s">
        <v>96</v>
      </c>
      <c r="C122" t="s">
        <v>45</v>
      </c>
      <c r="D122" t="s">
        <v>46</v>
      </c>
      <c r="E122" t="s">
        <v>68</v>
      </c>
      <c r="F122">
        <v>299</v>
      </c>
      <c r="G122" s="1">
        <v>45444.652083333334</v>
      </c>
      <c r="H122" s="1">
        <v>45444.724305555559</v>
      </c>
      <c r="I122" s="1">
        <v>45445.057638888888</v>
      </c>
      <c r="J122">
        <v>16.04</v>
      </c>
      <c r="K122" t="s">
        <v>23</v>
      </c>
      <c r="L122">
        <v>12</v>
      </c>
      <c r="M122">
        <f>(Analysis[[#This Row],[delivery_time]]-Analysis[[#This Row],[pickup_time]])*24</f>
        <v>7.9999999998835847</v>
      </c>
      <c r="N122">
        <f>(Analysis[[#This Row],[delivery_time]]-Analysis[[#This Row],[accept_time]])*24</f>
        <v>9.7333333332790062</v>
      </c>
      <c r="O122">
        <f>(Analysis[[#This Row],[pickup_time]]-Analysis[[#This Row],[accept_time]])*24</f>
        <v>1.7333333333954215</v>
      </c>
      <c r="P122" t="str">
        <f>IF(Analysis[[#This Row],[Total_Delivery_Hours]]&gt;Analysis[[#This Row],[sla_delivery_hrs]], "Breach", "OK")</f>
        <v>OK</v>
      </c>
      <c r="Q122">
        <f>IF(Analysis[[#This Row],[delay_reason]]="None", 0,1)</f>
        <v>1</v>
      </c>
    </row>
    <row r="123" spans="1:17" x14ac:dyDescent="0.25">
      <c r="A123" t="s">
        <v>192</v>
      </c>
      <c r="B123" t="s">
        <v>55</v>
      </c>
      <c r="C123" t="s">
        <v>45</v>
      </c>
      <c r="D123" t="s">
        <v>46</v>
      </c>
      <c r="E123" t="s">
        <v>34</v>
      </c>
      <c r="F123">
        <v>1999</v>
      </c>
      <c r="G123" s="1">
        <v>45444.649305555555</v>
      </c>
      <c r="H123" s="1">
        <v>45444.695138888892</v>
      </c>
      <c r="I123" s="1">
        <v>45445.195138888892</v>
      </c>
      <c r="J123">
        <v>20.64</v>
      </c>
      <c r="K123" t="s">
        <v>30</v>
      </c>
      <c r="L123">
        <v>12</v>
      </c>
      <c r="M123">
        <f>(Analysis[[#This Row],[delivery_time]]-Analysis[[#This Row],[pickup_time]])*24</f>
        <v>12</v>
      </c>
      <c r="N123">
        <f>(Analysis[[#This Row],[delivery_time]]-Analysis[[#This Row],[accept_time]])*24</f>
        <v>13.100000000093132</v>
      </c>
      <c r="O123">
        <f>(Analysis[[#This Row],[pickup_time]]-Analysis[[#This Row],[accept_time]])*24</f>
        <v>1.1000000000931323</v>
      </c>
      <c r="P123" t="str">
        <f>IF(Analysis[[#This Row],[Total_Delivery_Hours]]&gt;Analysis[[#This Row],[sla_delivery_hrs]], "Breach", "OK")</f>
        <v>OK</v>
      </c>
      <c r="Q123">
        <f>IF(Analysis[[#This Row],[delay_reason]]="None", 0,1)</f>
        <v>1</v>
      </c>
    </row>
    <row r="124" spans="1:17" x14ac:dyDescent="0.25">
      <c r="A124" t="s">
        <v>193</v>
      </c>
      <c r="B124" t="s">
        <v>180</v>
      </c>
      <c r="C124" t="s">
        <v>14</v>
      </c>
      <c r="D124" t="s">
        <v>15</v>
      </c>
      <c r="E124" t="s">
        <v>16</v>
      </c>
      <c r="F124">
        <v>899</v>
      </c>
      <c r="G124" s="1">
        <v>45444.424305555556</v>
      </c>
      <c r="H124" s="1">
        <v>45444.477083333331</v>
      </c>
      <c r="I124" s="1">
        <v>45444.852083333331</v>
      </c>
      <c r="J124">
        <v>12.18</v>
      </c>
      <c r="K124" t="s">
        <v>53</v>
      </c>
      <c r="L124">
        <v>12</v>
      </c>
      <c r="M124">
        <f>(Analysis[[#This Row],[delivery_time]]-Analysis[[#This Row],[pickup_time]])*24</f>
        <v>9</v>
      </c>
      <c r="N124">
        <f>(Analysis[[#This Row],[delivery_time]]-Analysis[[#This Row],[accept_time]])*24</f>
        <v>10.266666666604578</v>
      </c>
      <c r="O124">
        <f>(Analysis[[#This Row],[pickup_time]]-Analysis[[#This Row],[accept_time]])*24</f>
        <v>1.2666666666045785</v>
      </c>
      <c r="P124" t="str">
        <f>IF(Analysis[[#This Row],[Total_Delivery_Hours]]&gt;Analysis[[#This Row],[sla_delivery_hrs]], "Breach", "OK")</f>
        <v>OK</v>
      </c>
      <c r="Q124">
        <f>IF(Analysis[[#This Row],[delay_reason]]="None", 0,1)</f>
        <v>0</v>
      </c>
    </row>
    <row r="125" spans="1:17" x14ac:dyDescent="0.25">
      <c r="A125" t="s">
        <v>194</v>
      </c>
      <c r="B125" t="s">
        <v>127</v>
      </c>
      <c r="C125" t="s">
        <v>20</v>
      </c>
      <c r="D125" t="s">
        <v>21</v>
      </c>
      <c r="E125" t="s">
        <v>26</v>
      </c>
      <c r="F125">
        <v>2499</v>
      </c>
      <c r="G125" s="1">
        <v>45444.452777777777</v>
      </c>
      <c r="H125" s="1">
        <v>45444.529861111114</v>
      </c>
      <c r="I125" s="1">
        <v>45444.946527777778</v>
      </c>
      <c r="J125">
        <v>10.06</v>
      </c>
      <c r="K125" t="s">
        <v>17</v>
      </c>
      <c r="L125">
        <v>12</v>
      </c>
      <c r="M125">
        <f>(Analysis[[#This Row],[delivery_time]]-Analysis[[#This Row],[pickup_time]])*24</f>
        <v>9.9999999999417923</v>
      </c>
      <c r="N125">
        <f>(Analysis[[#This Row],[delivery_time]]-Analysis[[#This Row],[accept_time]])*24</f>
        <v>11.850000000034925</v>
      </c>
      <c r="O125">
        <f>(Analysis[[#This Row],[pickup_time]]-Analysis[[#This Row],[accept_time]])*24</f>
        <v>1.8500000000931323</v>
      </c>
      <c r="P125" t="str">
        <f>IF(Analysis[[#This Row],[Total_Delivery_Hours]]&gt;Analysis[[#This Row],[sla_delivery_hrs]], "Breach", "OK")</f>
        <v>OK</v>
      </c>
      <c r="Q125">
        <f>IF(Analysis[[#This Row],[delay_reason]]="None", 0,1)</f>
        <v>1</v>
      </c>
    </row>
    <row r="126" spans="1:17" x14ac:dyDescent="0.25">
      <c r="A126" t="s">
        <v>195</v>
      </c>
      <c r="B126" t="s">
        <v>84</v>
      </c>
      <c r="C126" t="s">
        <v>41</v>
      </c>
      <c r="D126" t="s">
        <v>42</v>
      </c>
      <c r="E126" t="s">
        <v>16</v>
      </c>
      <c r="F126">
        <v>1499</v>
      </c>
      <c r="G126" s="1">
        <v>45444.461111111108</v>
      </c>
      <c r="H126" s="1">
        <v>45444.5</v>
      </c>
      <c r="I126" s="1">
        <v>45445</v>
      </c>
      <c r="J126">
        <v>6.21</v>
      </c>
      <c r="K126" t="s">
        <v>30</v>
      </c>
      <c r="L126">
        <v>12</v>
      </c>
      <c r="M126">
        <f>(Analysis[[#This Row],[delivery_time]]-Analysis[[#This Row],[pickup_time]])*24</f>
        <v>12</v>
      </c>
      <c r="N126">
        <f>(Analysis[[#This Row],[delivery_time]]-Analysis[[#This Row],[accept_time]])*24</f>
        <v>12.933333333407063</v>
      </c>
      <c r="O126">
        <f>(Analysis[[#This Row],[pickup_time]]-Analysis[[#This Row],[accept_time]])*24</f>
        <v>0.93333333340706304</v>
      </c>
      <c r="P126" t="str">
        <f>IF(Analysis[[#This Row],[Total_Delivery_Hours]]&gt;Analysis[[#This Row],[sla_delivery_hrs]], "Breach", "OK")</f>
        <v>OK</v>
      </c>
      <c r="Q126">
        <f>IF(Analysis[[#This Row],[delay_reason]]="None", 0,1)</f>
        <v>1</v>
      </c>
    </row>
    <row r="127" spans="1:17" x14ac:dyDescent="0.25">
      <c r="A127" t="s">
        <v>196</v>
      </c>
      <c r="B127" t="s">
        <v>48</v>
      </c>
      <c r="C127" t="s">
        <v>14</v>
      </c>
      <c r="D127" t="s">
        <v>15</v>
      </c>
      <c r="E127" t="s">
        <v>26</v>
      </c>
      <c r="F127">
        <v>399</v>
      </c>
      <c r="G127" s="1">
        <v>45444.671527777777</v>
      </c>
      <c r="H127" s="1">
        <v>45444.744444444441</v>
      </c>
      <c r="I127" s="1">
        <v>45445.244444444441</v>
      </c>
      <c r="J127">
        <v>24.46</v>
      </c>
      <c r="K127" t="s">
        <v>17</v>
      </c>
      <c r="L127">
        <v>12</v>
      </c>
      <c r="M127">
        <f>(Analysis[[#This Row],[delivery_time]]-Analysis[[#This Row],[pickup_time]])*24</f>
        <v>12</v>
      </c>
      <c r="N127">
        <f>(Analysis[[#This Row],[delivery_time]]-Analysis[[#This Row],[accept_time]])*24</f>
        <v>13.749999999941792</v>
      </c>
      <c r="O127">
        <f>(Analysis[[#This Row],[pickup_time]]-Analysis[[#This Row],[accept_time]])*24</f>
        <v>1.7499999999417923</v>
      </c>
      <c r="P127" t="str">
        <f>IF(Analysis[[#This Row],[Total_Delivery_Hours]]&gt;Analysis[[#This Row],[sla_delivery_hrs]], "Breach", "OK")</f>
        <v>OK</v>
      </c>
      <c r="Q127">
        <f>IF(Analysis[[#This Row],[delay_reason]]="None", 0,1)</f>
        <v>1</v>
      </c>
    </row>
    <row r="128" spans="1:17" x14ac:dyDescent="0.25">
      <c r="A128" t="s">
        <v>197</v>
      </c>
      <c r="B128" t="s">
        <v>72</v>
      </c>
      <c r="C128" t="s">
        <v>20</v>
      </c>
      <c r="D128" t="s">
        <v>21</v>
      </c>
      <c r="E128" t="s">
        <v>68</v>
      </c>
      <c r="F128">
        <v>2499</v>
      </c>
      <c r="G128" s="1">
        <v>45444.426388888889</v>
      </c>
      <c r="H128" s="1">
        <v>45444.448611111111</v>
      </c>
      <c r="I128" s="1">
        <v>45444.656944444447</v>
      </c>
      <c r="J128">
        <v>12.74</v>
      </c>
      <c r="K128" t="s">
        <v>53</v>
      </c>
      <c r="L128">
        <v>12</v>
      </c>
      <c r="M128">
        <f>(Analysis[[#This Row],[delivery_time]]-Analysis[[#This Row],[pickup_time]])*24</f>
        <v>5.0000000000582077</v>
      </c>
      <c r="N128">
        <f>(Analysis[[#This Row],[delivery_time]]-Analysis[[#This Row],[accept_time]])*24</f>
        <v>5.53333333338378</v>
      </c>
      <c r="O128">
        <f>(Analysis[[#This Row],[pickup_time]]-Analysis[[#This Row],[accept_time]])*24</f>
        <v>0.53333333332557231</v>
      </c>
      <c r="P128" t="str">
        <f>IF(Analysis[[#This Row],[Total_Delivery_Hours]]&gt;Analysis[[#This Row],[sla_delivery_hrs]], "Breach", "OK")</f>
        <v>OK</v>
      </c>
      <c r="Q128">
        <f>IF(Analysis[[#This Row],[delay_reason]]="None", 0,1)</f>
        <v>0</v>
      </c>
    </row>
    <row r="129" spans="1:17" x14ac:dyDescent="0.25">
      <c r="A129" t="s">
        <v>198</v>
      </c>
      <c r="B129" t="s">
        <v>13</v>
      </c>
      <c r="C129" t="s">
        <v>20</v>
      </c>
      <c r="D129" t="s">
        <v>21</v>
      </c>
      <c r="E129" t="s">
        <v>22</v>
      </c>
      <c r="F129">
        <v>1999</v>
      </c>
      <c r="G129" s="1">
        <v>45444.694444444445</v>
      </c>
      <c r="H129" s="1">
        <v>45444.711805555555</v>
      </c>
      <c r="I129" s="1">
        <v>45445.128472222219</v>
      </c>
      <c r="J129">
        <v>22.89</v>
      </c>
      <c r="K129" t="s">
        <v>53</v>
      </c>
      <c r="L129">
        <v>12</v>
      </c>
      <c r="M129">
        <f>(Analysis[[#This Row],[delivery_time]]-Analysis[[#This Row],[pickup_time]])*24</f>
        <v>9.9999999999417923</v>
      </c>
      <c r="N129">
        <f>(Analysis[[#This Row],[delivery_time]]-Analysis[[#This Row],[accept_time]])*24</f>
        <v>10.416666666569654</v>
      </c>
      <c r="O129">
        <f>(Analysis[[#This Row],[pickup_time]]-Analysis[[#This Row],[accept_time]])*24</f>
        <v>0.41666666662786156</v>
      </c>
      <c r="P129" t="str">
        <f>IF(Analysis[[#This Row],[Total_Delivery_Hours]]&gt;Analysis[[#This Row],[sla_delivery_hrs]], "Breach", "OK")</f>
        <v>OK</v>
      </c>
      <c r="Q129">
        <f>IF(Analysis[[#This Row],[delay_reason]]="None", 0,1)</f>
        <v>0</v>
      </c>
    </row>
    <row r="130" spans="1:17" x14ac:dyDescent="0.25">
      <c r="A130" t="s">
        <v>199</v>
      </c>
      <c r="B130" t="s">
        <v>52</v>
      </c>
      <c r="C130" t="s">
        <v>41</v>
      </c>
      <c r="D130" t="s">
        <v>42</v>
      </c>
      <c r="E130" t="s">
        <v>22</v>
      </c>
      <c r="F130">
        <v>699</v>
      </c>
      <c r="G130" s="1">
        <v>45444.490972222222</v>
      </c>
      <c r="H130" s="1">
        <v>45444.512499999997</v>
      </c>
      <c r="I130" s="1">
        <v>45444.804166666669</v>
      </c>
      <c r="J130">
        <v>22.33</v>
      </c>
      <c r="K130" t="s">
        <v>17</v>
      </c>
      <c r="L130">
        <v>12</v>
      </c>
      <c r="M130">
        <f>(Analysis[[#This Row],[delivery_time]]-Analysis[[#This Row],[pickup_time]])*24</f>
        <v>7.0000000001164153</v>
      </c>
      <c r="N130">
        <f>(Analysis[[#This Row],[delivery_time]]-Analysis[[#This Row],[accept_time]])*24</f>
        <v>7.5166666667209938</v>
      </c>
      <c r="O130">
        <f>(Analysis[[#This Row],[pickup_time]]-Analysis[[#This Row],[accept_time]])*24</f>
        <v>0.5166666666045785</v>
      </c>
      <c r="P130" t="str">
        <f>IF(Analysis[[#This Row],[Total_Delivery_Hours]]&gt;Analysis[[#This Row],[sla_delivery_hrs]], "Breach", "OK")</f>
        <v>OK</v>
      </c>
      <c r="Q130">
        <f>IF(Analysis[[#This Row],[delay_reason]]="None", 0,1)</f>
        <v>1</v>
      </c>
    </row>
    <row r="131" spans="1:17" x14ac:dyDescent="0.25">
      <c r="A131" t="s">
        <v>200</v>
      </c>
      <c r="B131" t="s">
        <v>96</v>
      </c>
      <c r="C131" t="s">
        <v>14</v>
      </c>
      <c r="D131" t="s">
        <v>15</v>
      </c>
      <c r="E131" t="s">
        <v>22</v>
      </c>
      <c r="F131">
        <v>1999</v>
      </c>
      <c r="G131" s="1">
        <v>45444.672222222223</v>
      </c>
      <c r="H131" s="1">
        <v>45444.724999999999</v>
      </c>
      <c r="I131" s="1">
        <v>45445.26666666667</v>
      </c>
      <c r="J131">
        <v>15.57</v>
      </c>
      <c r="K131" t="s">
        <v>53</v>
      </c>
      <c r="L131">
        <v>12</v>
      </c>
      <c r="M131">
        <f>(Analysis[[#This Row],[delivery_time]]-Analysis[[#This Row],[pickup_time]])*24</f>
        <v>13.000000000116415</v>
      </c>
      <c r="N131">
        <f>(Analysis[[#This Row],[delivery_time]]-Analysis[[#This Row],[accept_time]])*24</f>
        <v>14.266666666720994</v>
      </c>
      <c r="O131">
        <f>(Analysis[[#This Row],[pickup_time]]-Analysis[[#This Row],[accept_time]])*24</f>
        <v>1.2666666666045785</v>
      </c>
      <c r="P131" t="str">
        <f>IF(Analysis[[#This Row],[Total_Delivery_Hours]]&gt;Analysis[[#This Row],[sla_delivery_hrs]], "Breach", "OK")</f>
        <v>Breach</v>
      </c>
      <c r="Q131">
        <f>IF(Analysis[[#This Row],[delay_reason]]="None", 0,1)</f>
        <v>0</v>
      </c>
    </row>
    <row r="132" spans="1:17" x14ac:dyDescent="0.25">
      <c r="A132" t="s">
        <v>201</v>
      </c>
      <c r="B132" t="s">
        <v>55</v>
      </c>
      <c r="C132" t="s">
        <v>41</v>
      </c>
      <c r="D132" t="s">
        <v>42</v>
      </c>
      <c r="E132" t="s">
        <v>16</v>
      </c>
      <c r="F132">
        <v>1499</v>
      </c>
      <c r="G132" s="1">
        <v>45444.470138888886</v>
      </c>
      <c r="H132" s="1">
        <v>45444.503472222219</v>
      </c>
      <c r="I132" s="1">
        <v>45445.086805555555</v>
      </c>
      <c r="J132">
        <v>9.4499999999999993</v>
      </c>
      <c r="K132" t="s">
        <v>23</v>
      </c>
      <c r="L132">
        <v>12</v>
      </c>
      <c r="M132">
        <f>(Analysis[[#This Row],[delivery_time]]-Analysis[[#This Row],[pickup_time]])*24</f>
        <v>14.000000000058208</v>
      </c>
      <c r="N132">
        <f>(Analysis[[#This Row],[delivery_time]]-Analysis[[#This Row],[accept_time]])*24</f>
        <v>14.800000000046566</v>
      </c>
      <c r="O132">
        <f>(Analysis[[#This Row],[pickup_time]]-Analysis[[#This Row],[accept_time]])*24</f>
        <v>0.79999999998835847</v>
      </c>
      <c r="P132" t="str">
        <f>IF(Analysis[[#This Row],[Total_Delivery_Hours]]&gt;Analysis[[#This Row],[sla_delivery_hrs]], "Breach", "OK")</f>
        <v>Breach</v>
      </c>
      <c r="Q132">
        <f>IF(Analysis[[#This Row],[delay_reason]]="None", 0,1)</f>
        <v>1</v>
      </c>
    </row>
    <row r="133" spans="1:17" x14ac:dyDescent="0.25">
      <c r="A133" t="s">
        <v>202</v>
      </c>
      <c r="B133" t="s">
        <v>78</v>
      </c>
      <c r="C133" t="s">
        <v>14</v>
      </c>
      <c r="D133" t="s">
        <v>15</v>
      </c>
      <c r="E133" t="s">
        <v>22</v>
      </c>
      <c r="F133">
        <v>1999</v>
      </c>
      <c r="G133" s="1">
        <v>45444.688888888886</v>
      </c>
      <c r="H133" s="1">
        <v>45444.731944444444</v>
      </c>
      <c r="I133" s="1">
        <v>45445.44027777778</v>
      </c>
      <c r="J133">
        <v>17.82</v>
      </c>
      <c r="K133" t="s">
        <v>53</v>
      </c>
      <c r="L133">
        <v>12</v>
      </c>
      <c r="M133">
        <f>(Analysis[[#This Row],[delivery_time]]-Analysis[[#This Row],[pickup_time]])*24</f>
        <v>17.000000000058208</v>
      </c>
      <c r="N133">
        <f>(Analysis[[#This Row],[delivery_time]]-Analysis[[#This Row],[accept_time]])*24</f>
        <v>18.033333333441988</v>
      </c>
      <c r="O133">
        <f>(Analysis[[#This Row],[pickup_time]]-Analysis[[#This Row],[accept_time]])*24</f>
        <v>1.03333333338378</v>
      </c>
      <c r="P133" t="str">
        <f>IF(Analysis[[#This Row],[Total_Delivery_Hours]]&gt;Analysis[[#This Row],[sla_delivery_hrs]], "Breach", "OK")</f>
        <v>Breach</v>
      </c>
      <c r="Q133">
        <f>IF(Analysis[[#This Row],[delay_reason]]="None", 0,1)</f>
        <v>0</v>
      </c>
    </row>
    <row r="134" spans="1:17" x14ac:dyDescent="0.25">
      <c r="A134" t="s">
        <v>203</v>
      </c>
      <c r="B134" t="s">
        <v>180</v>
      </c>
      <c r="C134" t="s">
        <v>45</v>
      </c>
      <c r="D134" t="s">
        <v>46</v>
      </c>
      <c r="E134" t="s">
        <v>29</v>
      </c>
      <c r="F134">
        <v>199</v>
      </c>
      <c r="G134" s="1">
        <v>45444.772916666669</v>
      </c>
      <c r="H134" s="1">
        <v>45444.821527777778</v>
      </c>
      <c r="I134" s="1">
        <v>45445.321527777778</v>
      </c>
      <c r="J134">
        <v>6.4</v>
      </c>
      <c r="K134" t="s">
        <v>23</v>
      </c>
      <c r="L134">
        <v>12</v>
      </c>
      <c r="M134">
        <f>(Analysis[[#This Row],[delivery_time]]-Analysis[[#This Row],[pickup_time]])*24</f>
        <v>12</v>
      </c>
      <c r="N134">
        <f>(Analysis[[#This Row],[delivery_time]]-Analysis[[#This Row],[accept_time]])*24</f>
        <v>13.166666666627862</v>
      </c>
      <c r="O134">
        <f>(Analysis[[#This Row],[pickup_time]]-Analysis[[#This Row],[accept_time]])*24</f>
        <v>1.1666666666278616</v>
      </c>
      <c r="P134" t="str">
        <f>IF(Analysis[[#This Row],[Total_Delivery_Hours]]&gt;Analysis[[#This Row],[sla_delivery_hrs]], "Breach", "OK")</f>
        <v>OK</v>
      </c>
      <c r="Q134">
        <f>IF(Analysis[[#This Row],[delay_reason]]="None", 0,1)</f>
        <v>1</v>
      </c>
    </row>
    <row r="135" spans="1:17" x14ac:dyDescent="0.25">
      <c r="A135" t="s">
        <v>204</v>
      </c>
      <c r="B135" t="s">
        <v>78</v>
      </c>
      <c r="C135" t="s">
        <v>45</v>
      </c>
      <c r="D135" t="s">
        <v>46</v>
      </c>
      <c r="E135" t="s">
        <v>29</v>
      </c>
      <c r="F135">
        <v>399</v>
      </c>
      <c r="G135" s="1">
        <v>45444.583333333336</v>
      </c>
      <c r="H135" s="1">
        <v>45444.645138888889</v>
      </c>
      <c r="I135" s="1">
        <v>45445.270138888889</v>
      </c>
      <c r="J135">
        <v>17.53</v>
      </c>
      <c r="K135" t="s">
        <v>17</v>
      </c>
      <c r="L135">
        <v>12</v>
      </c>
      <c r="M135">
        <f>(Analysis[[#This Row],[delivery_time]]-Analysis[[#This Row],[pickup_time]])*24</f>
        <v>15</v>
      </c>
      <c r="N135">
        <f>(Analysis[[#This Row],[delivery_time]]-Analysis[[#This Row],[accept_time]])*24</f>
        <v>16.483333333279006</v>
      </c>
      <c r="O135">
        <f>(Analysis[[#This Row],[pickup_time]]-Analysis[[#This Row],[accept_time]])*24</f>
        <v>1.4833333332790062</v>
      </c>
      <c r="P135" t="str">
        <f>IF(Analysis[[#This Row],[Total_Delivery_Hours]]&gt;Analysis[[#This Row],[sla_delivery_hrs]], "Breach", "OK")</f>
        <v>Breach</v>
      </c>
      <c r="Q135">
        <f>IF(Analysis[[#This Row],[delay_reason]]="None", 0,1)</f>
        <v>1</v>
      </c>
    </row>
    <row r="136" spans="1:17" x14ac:dyDescent="0.25">
      <c r="A136" t="s">
        <v>205</v>
      </c>
      <c r="B136" t="s">
        <v>180</v>
      </c>
      <c r="C136" t="s">
        <v>14</v>
      </c>
      <c r="D136" t="s">
        <v>15</v>
      </c>
      <c r="E136" t="s">
        <v>34</v>
      </c>
      <c r="F136">
        <v>2499</v>
      </c>
      <c r="G136" s="1">
        <v>45444.407638888886</v>
      </c>
      <c r="H136" s="1">
        <v>45444.427083333336</v>
      </c>
      <c r="I136" s="1">
        <v>45445.010416666664</v>
      </c>
      <c r="J136">
        <v>21.3</v>
      </c>
      <c r="K136" t="s">
        <v>53</v>
      </c>
      <c r="L136">
        <v>12</v>
      </c>
      <c r="M136">
        <f>(Analysis[[#This Row],[delivery_time]]-Analysis[[#This Row],[pickup_time]])*24</f>
        <v>13.999999999883585</v>
      </c>
      <c r="N136">
        <f>(Analysis[[#This Row],[delivery_time]]-Analysis[[#This Row],[accept_time]])*24</f>
        <v>14.466666666674428</v>
      </c>
      <c r="O136">
        <f>(Analysis[[#This Row],[pickup_time]]-Analysis[[#This Row],[accept_time]])*24</f>
        <v>0.46666666679084301</v>
      </c>
      <c r="P136" t="str">
        <f>IF(Analysis[[#This Row],[Total_Delivery_Hours]]&gt;Analysis[[#This Row],[sla_delivery_hrs]], "Breach", "OK")</f>
        <v>Breach</v>
      </c>
      <c r="Q136">
        <f>IF(Analysis[[#This Row],[delay_reason]]="None", 0,1)</f>
        <v>0</v>
      </c>
    </row>
    <row r="137" spans="1:17" x14ac:dyDescent="0.25">
      <c r="A137" t="s">
        <v>206</v>
      </c>
      <c r="B137" t="s">
        <v>72</v>
      </c>
      <c r="C137" t="s">
        <v>45</v>
      </c>
      <c r="D137" t="s">
        <v>46</v>
      </c>
      <c r="E137" t="s">
        <v>68</v>
      </c>
      <c r="F137">
        <v>299</v>
      </c>
      <c r="G137" s="1">
        <v>45444.536805555559</v>
      </c>
      <c r="H137" s="1">
        <v>45444.554166666669</v>
      </c>
      <c r="I137" s="1">
        <v>45445.304166666669</v>
      </c>
      <c r="J137">
        <v>7.14</v>
      </c>
      <c r="K137" t="s">
        <v>30</v>
      </c>
      <c r="L137">
        <v>12</v>
      </c>
      <c r="M137">
        <f>(Analysis[[#This Row],[delivery_time]]-Analysis[[#This Row],[pickup_time]])*24</f>
        <v>18</v>
      </c>
      <c r="N137">
        <f>(Analysis[[#This Row],[delivery_time]]-Analysis[[#This Row],[accept_time]])*24</f>
        <v>18.416666666627862</v>
      </c>
      <c r="O137">
        <f>(Analysis[[#This Row],[pickup_time]]-Analysis[[#This Row],[accept_time]])*24</f>
        <v>0.41666666662786156</v>
      </c>
      <c r="P137" t="str">
        <f>IF(Analysis[[#This Row],[Total_Delivery_Hours]]&gt;Analysis[[#This Row],[sla_delivery_hrs]], "Breach", "OK")</f>
        <v>Breach</v>
      </c>
      <c r="Q137">
        <f>IF(Analysis[[#This Row],[delay_reason]]="None", 0,1)</f>
        <v>1</v>
      </c>
    </row>
    <row r="138" spans="1:17" x14ac:dyDescent="0.25">
      <c r="A138" t="s">
        <v>207</v>
      </c>
      <c r="B138" t="s">
        <v>175</v>
      </c>
      <c r="C138" t="s">
        <v>41</v>
      </c>
      <c r="D138" t="s">
        <v>42</v>
      </c>
      <c r="E138" t="s">
        <v>22</v>
      </c>
      <c r="F138">
        <v>1999</v>
      </c>
      <c r="G138" s="1">
        <v>45444.448611111111</v>
      </c>
      <c r="H138" s="1">
        <v>45444.474305555559</v>
      </c>
      <c r="I138" s="1">
        <v>45445.140972222223</v>
      </c>
      <c r="J138">
        <v>23.21</v>
      </c>
      <c r="K138" t="s">
        <v>23</v>
      </c>
      <c r="L138">
        <v>12</v>
      </c>
      <c r="M138">
        <f>(Analysis[[#This Row],[delivery_time]]-Analysis[[#This Row],[pickup_time]])*24</f>
        <v>15.999999999941792</v>
      </c>
      <c r="N138">
        <f>(Analysis[[#This Row],[delivery_time]]-Analysis[[#This Row],[accept_time]])*24</f>
        <v>16.616666666697711</v>
      </c>
      <c r="O138">
        <f>(Analysis[[#This Row],[pickup_time]]-Analysis[[#This Row],[accept_time]])*24</f>
        <v>0.61666666675591841</v>
      </c>
      <c r="P138" t="str">
        <f>IF(Analysis[[#This Row],[Total_Delivery_Hours]]&gt;Analysis[[#This Row],[sla_delivery_hrs]], "Breach", "OK")</f>
        <v>Breach</v>
      </c>
      <c r="Q138">
        <f>IF(Analysis[[#This Row],[delay_reason]]="None", 0,1)</f>
        <v>1</v>
      </c>
    </row>
    <row r="139" spans="1:17" x14ac:dyDescent="0.25">
      <c r="A139" t="s">
        <v>208</v>
      </c>
      <c r="B139" t="s">
        <v>156</v>
      </c>
      <c r="C139" t="s">
        <v>45</v>
      </c>
      <c r="D139" t="s">
        <v>46</v>
      </c>
      <c r="E139" t="s">
        <v>16</v>
      </c>
      <c r="F139">
        <v>399</v>
      </c>
      <c r="G139" s="1">
        <v>45444.570833333331</v>
      </c>
      <c r="H139" s="1">
        <v>45444.636111111111</v>
      </c>
      <c r="I139" s="1">
        <v>45445.094444444447</v>
      </c>
      <c r="J139">
        <v>16.98</v>
      </c>
      <c r="K139" t="s">
        <v>17</v>
      </c>
      <c r="L139">
        <v>12</v>
      </c>
      <c r="M139">
        <f>(Analysis[[#This Row],[delivery_time]]-Analysis[[#This Row],[pickup_time]])*24</f>
        <v>11.000000000058208</v>
      </c>
      <c r="N139">
        <f>(Analysis[[#This Row],[delivery_time]]-Analysis[[#This Row],[accept_time]])*24</f>
        <v>12.56666666676756</v>
      </c>
      <c r="O139">
        <f>(Analysis[[#This Row],[pickup_time]]-Analysis[[#This Row],[accept_time]])*24</f>
        <v>1.5666666667093523</v>
      </c>
      <c r="P139" t="str">
        <f>IF(Analysis[[#This Row],[Total_Delivery_Hours]]&gt;Analysis[[#This Row],[sla_delivery_hrs]], "Breach", "OK")</f>
        <v>OK</v>
      </c>
      <c r="Q139">
        <f>IF(Analysis[[#This Row],[delay_reason]]="None", 0,1)</f>
        <v>1</v>
      </c>
    </row>
    <row r="140" spans="1:17" x14ac:dyDescent="0.25">
      <c r="A140" t="s">
        <v>209</v>
      </c>
      <c r="B140" t="s">
        <v>122</v>
      </c>
      <c r="C140" t="s">
        <v>14</v>
      </c>
      <c r="D140" t="s">
        <v>15</v>
      </c>
      <c r="E140" t="s">
        <v>29</v>
      </c>
      <c r="F140">
        <v>899</v>
      </c>
      <c r="G140" s="1">
        <v>45444.455555555556</v>
      </c>
      <c r="H140" s="1">
        <v>45444.50277777778</v>
      </c>
      <c r="I140" s="1">
        <v>45444.669444444444</v>
      </c>
      <c r="J140">
        <v>13.41</v>
      </c>
      <c r="K140" t="s">
        <v>23</v>
      </c>
      <c r="L140">
        <v>12</v>
      </c>
      <c r="M140">
        <f>(Analysis[[#This Row],[delivery_time]]-Analysis[[#This Row],[pickup_time]])*24</f>
        <v>3.9999999999417923</v>
      </c>
      <c r="N140">
        <f>(Analysis[[#This Row],[delivery_time]]-Analysis[[#This Row],[accept_time]])*24</f>
        <v>5.1333333333022892</v>
      </c>
      <c r="O140">
        <f>(Analysis[[#This Row],[pickup_time]]-Analysis[[#This Row],[accept_time]])*24</f>
        <v>1.1333333333604969</v>
      </c>
      <c r="P140" t="str">
        <f>IF(Analysis[[#This Row],[Total_Delivery_Hours]]&gt;Analysis[[#This Row],[sla_delivery_hrs]], "Breach", "OK")</f>
        <v>OK</v>
      </c>
      <c r="Q140">
        <f>IF(Analysis[[#This Row],[delay_reason]]="None", 0,1)</f>
        <v>1</v>
      </c>
    </row>
    <row r="141" spans="1:17" x14ac:dyDescent="0.25">
      <c r="A141" t="s">
        <v>210</v>
      </c>
      <c r="B141" t="s">
        <v>50</v>
      </c>
      <c r="C141" t="s">
        <v>41</v>
      </c>
      <c r="D141" t="s">
        <v>42</v>
      </c>
      <c r="E141" t="s">
        <v>22</v>
      </c>
      <c r="F141">
        <v>2499</v>
      </c>
      <c r="G141" s="1">
        <v>45444.459722222222</v>
      </c>
      <c r="H141" s="1">
        <v>45444.496527777781</v>
      </c>
      <c r="I141" s="1">
        <v>45444.788194444445</v>
      </c>
      <c r="J141">
        <v>20.96</v>
      </c>
      <c r="K141" t="s">
        <v>17</v>
      </c>
      <c r="L141">
        <v>12</v>
      </c>
      <c r="M141">
        <f>(Analysis[[#This Row],[delivery_time]]-Analysis[[#This Row],[pickup_time]])*24</f>
        <v>6.9999999999417923</v>
      </c>
      <c r="N141">
        <f>(Analysis[[#This Row],[delivery_time]]-Analysis[[#This Row],[accept_time]])*24</f>
        <v>7.8833333333604969</v>
      </c>
      <c r="O141">
        <f>(Analysis[[#This Row],[pickup_time]]-Analysis[[#This Row],[accept_time]])*24</f>
        <v>0.88333333341870457</v>
      </c>
      <c r="P141" t="str">
        <f>IF(Analysis[[#This Row],[Total_Delivery_Hours]]&gt;Analysis[[#This Row],[sla_delivery_hrs]], "Breach", "OK")</f>
        <v>OK</v>
      </c>
      <c r="Q141">
        <f>IF(Analysis[[#This Row],[delay_reason]]="None", 0,1)</f>
        <v>1</v>
      </c>
    </row>
    <row r="142" spans="1:17" x14ac:dyDescent="0.25">
      <c r="A142" t="s">
        <v>211</v>
      </c>
      <c r="B142" t="s">
        <v>122</v>
      </c>
      <c r="C142" t="s">
        <v>41</v>
      </c>
      <c r="D142" t="s">
        <v>42</v>
      </c>
      <c r="E142" t="s">
        <v>68</v>
      </c>
      <c r="F142">
        <v>699</v>
      </c>
      <c r="G142" s="1">
        <v>45444.784722222219</v>
      </c>
      <c r="H142" s="1">
        <v>45444.822222222225</v>
      </c>
      <c r="I142" s="1">
        <v>45445.030555555553</v>
      </c>
      <c r="J142">
        <v>18.82</v>
      </c>
      <c r="K142" t="s">
        <v>23</v>
      </c>
      <c r="L142">
        <v>12</v>
      </c>
      <c r="M142">
        <f>(Analysis[[#This Row],[delivery_time]]-Analysis[[#This Row],[pickup_time]])*24</f>
        <v>4.9999999998835847</v>
      </c>
      <c r="N142">
        <f>(Analysis[[#This Row],[delivery_time]]-Analysis[[#This Row],[accept_time]])*24</f>
        <v>5.9000000000232831</v>
      </c>
      <c r="O142">
        <f>(Analysis[[#This Row],[pickup_time]]-Analysis[[#This Row],[accept_time]])*24</f>
        <v>0.90000000013969839</v>
      </c>
      <c r="P142" t="str">
        <f>IF(Analysis[[#This Row],[Total_Delivery_Hours]]&gt;Analysis[[#This Row],[sla_delivery_hrs]], "Breach", "OK")</f>
        <v>OK</v>
      </c>
      <c r="Q142">
        <f>IF(Analysis[[#This Row],[delay_reason]]="None", 0,1)</f>
        <v>1</v>
      </c>
    </row>
    <row r="143" spans="1:17" x14ac:dyDescent="0.25">
      <c r="A143" t="s">
        <v>212</v>
      </c>
      <c r="B143" t="s">
        <v>94</v>
      </c>
      <c r="C143" t="s">
        <v>14</v>
      </c>
      <c r="D143" t="s">
        <v>15</v>
      </c>
      <c r="E143" t="s">
        <v>26</v>
      </c>
      <c r="F143">
        <v>1299</v>
      </c>
      <c r="G143" s="1">
        <v>45444.640277777777</v>
      </c>
      <c r="H143" s="1">
        <v>45444.657638888886</v>
      </c>
      <c r="I143" s="1">
        <v>45445.240972222222</v>
      </c>
      <c r="J143">
        <v>8.17</v>
      </c>
      <c r="K143" t="s">
        <v>30</v>
      </c>
      <c r="L143">
        <v>12</v>
      </c>
      <c r="M143">
        <f>(Analysis[[#This Row],[delivery_time]]-Analysis[[#This Row],[pickup_time]])*24</f>
        <v>14.000000000058208</v>
      </c>
      <c r="N143">
        <f>(Analysis[[#This Row],[delivery_time]]-Analysis[[#This Row],[accept_time]])*24</f>
        <v>14.416666666686069</v>
      </c>
      <c r="O143">
        <f>(Analysis[[#This Row],[pickup_time]]-Analysis[[#This Row],[accept_time]])*24</f>
        <v>0.41666666662786156</v>
      </c>
      <c r="P143" t="str">
        <f>IF(Analysis[[#This Row],[Total_Delivery_Hours]]&gt;Analysis[[#This Row],[sla_delivery_hrs]], "Breach", "OK")</f>
        <v>Breach</v>
      </c>
      <c r="Q143">
        <f>IF(Analysis[[#This Row],[delay_reason]]="None", 0,1)</f>
        <v>1</v>
      </c>
    </row>
    <row r="144" spans="1:17" x14ac:dyDescent="0.25">
      <c r="A144" t="s">
        <v>213</v>
      </c>
      <c r="B144" t="s">
        <v>141</v>
      </c>
      <c r="C144" t="s">
        <v>14</v>
      </c>
      <c r="D144" t="s">
        <v>15</v>
      </c>
      <c r="E144" t="s">
        <v>22</v>
      </c>
      <c r="F144">
        <v>199</v>
      </c>
      <c r="G144" s="1">
        <v>45444.477083333331</v>
      </c>
      <c r="H144" s="1">
        <v>45444.525000000001</v>
      </c>
      <c r="I144" s="1">
        <v>45445.275000000001</v>
      </c>
      <c r="J144">
        <v>7.58</v>
      </c>
      <c r="K144" t="s">
        <v>23</v>
      </c>
      <c r="L144">
        <v>12</v>
      </c>
      <c r="M144">
        <f>(Analysis[[#This Row],[delivery_time]]-Analysis[[#This Row],[pickup_time]])*24</f>
        <v>18</v>
      </c>
      <c r="N144">
        <f>(Analysis[[#This Row],[delivery_time]]-Analysis[[#This Row],[accept_time]])*24</f>
        <v>19.150000000081491</v>
      </c>
      <c r="O144">
        <f>(Analysis[[#This Row],[pickup_time]]-Analysis[[#This Row],[accept_time]])*24</f>
        <v>1.1500000000814907</v>
      </c>
      <c r="P144" t="str">
        <f>IF(Analysis[[#This Row],[Total_Delivery_Hours]]&gt;Analysis[[#This Row],[sla_delivery_hrs]], "Breach", "OK")</f>
        <v>Breach</v>
      </c>
      <c r="Q144">
        <f>IF(Analysis[[#This Row],[delay_reason]]="None", 0,1)</f>
        <v>1</v>
      </c>
    </row>
    <row r="145" spans="1:17" x14ac:dyDescent="0.25">
      <c r="A145" t="s">
        <v>214</v>
      </c>
      <c r="B145" t="s">
        <v>215</v>
      </c>
      <c r="C145" t="s">
        <v>41</v>
      </c>
      <c r="D145" t="s">
        <v>42</v>
      </c>
      <c r="E145" t="s">
        <v>68</v>
      </c>
      <c r="F145">
        <v>1499</v>
      </c>
      <c r="G145" s="1">
        <v>45444.48541666667</v>
      </c>
      <c r="H145" s="1">
        <v>45444.525000000001</v>
      </c>
      <c r="I145" s="1">
        <v>45444.816666666666</v>
      </c>
      <c r="J145">
        <v>19.420000000000002</v>
      </c>
      <c r="K145" t="s">
        <v>17</v>
      </c>
      <c r="L145">
        <v>12</v>
      </c>
      <c r="M145">
        <f>(Analysis[[#This Row],[delivery_time]]-Analysis[[#This Row],[pickup_time]])*24</f>
        <v>6.9999999999417923</v>
      </c>
      <c r="N145">
        <f>(Analysis[[#This Row],[delivery_time]]-Analysis[[#This Row],[accept_time]])*24</f>
        <v>7.9499999998952262</v>
      </c>
      <c r="O145">
        <f>(Analysis[[#This Row],[pickup_time]]-Analysis[[#This Row],[accept_time]])*24</f>
        <v>0.94999999995343387</v>
      </c>
      <c r="P145" t="str">
        <f>IF(Analysis[[#This Row],[Total_Delivery_Hours]]&gt;Analysis[[#This Row],[sla_delivery_hrs]], "Breach", "OK")</f>
        <v>OK</v>
      </c>
      <c r="Q145">
        <f>IF(Analysis[[#This Row],[delay_reason]]="None", 0,1)</f>
        <v>1</v>
      </c>
    </row>
    <row r="146" spans="1:17" x14ac:dyDescent="0.25">
      <c r="A146" t="s">
        <v>216</v>
      </c>
      <c r="B146" t="s">
        <v>62</v>
      </c>
      <c r="C146" t="s">
        <v>45</v>
      </c>
      <c r="D146" t="s">
        <v>46</v>
      </c>
      <c r="E146" t="s">
        <v>22</v>
      </c>
      <c r="F146">
        <v>299</v>
      </c>
      <c r="G146" s="1">
        <v>45444.590277777781</v>
      </c>
      <c r="H146" s="1">
        <v>45444.615972222222</v>
      </c>
      <c r="I146" s="1">
        <v>45445.199305555558</v>
      </c>
      <c r="J146">
        <v>7.18</v>
      </c>
      <c r="K146" t="s">
        <v>17</v>
      </c>
      <c r="L146">
        <v>12</v>
      </c>
      <c r="M146">
        <f>(Analysis[[#This Row],[delivery_time]]-Analysis[[#This Row],[pickup_time]])*24</f>
        <v>14.000000000058208</v>
      </c>
      <c r="N146">
        <f>(Analysis[[#This Row],[delivery_time]]-Analysis[[#This Row],[accept_time]])*24</f>
        <v>14.616666666639503</v>
      </c>
      <c r="O146">
        <f>(Analysis[[#This Row],[pickup_time]]-Analysis[[#This Row],[accept_time]])*24</f>
        <v>0.61666666658129543</v>
      </c>
      <c r="P146" t="str">
        <f>IF(Analysis[[#This Row],[Total_Delivery_Hours]]&gt;Analysis[[#This Row],[sla_delivery_hrs]], "Breach", "OK")</f>
        <v>Breach</v>
      </c>
      <c r="Q146">
        <f>IF(Analysis[[#This Row],[delay_reason]]="None", 0,1)</f>
        <v>1</v>
      </c>
    </row>
    <row r="147" spans="1:17" x14ac:dyDescent="0.25">
      <c r="A147" t="s">
        <v>217</v>
      </c>
      <c r="B147" t="s">
        <v>66</v>
      </c>
      <c r="C147" t="s">
        <v>45</v>
      </c>
      <c r="D147" t="s">
        <v>46</v>
      </c>
      <c r="E147" t="s">
        <v>34</v>
      </c>
      <c r="F147">
        <v>399</v>
      </c>
      <c r="G147" s="1">
        <v>45444.535416666666</v>
      </c>
      <c r="H147" s="1">
        <v>45444.581944444442</v>
      </c>
      <c r="I147" s="1">
        <v>45445.123611111114</v>
      </c>
      <c r="J147">
        <v>10.62</v>
      </c>
      <c r="K147" t="s">
        <v>23</v>
      </c>
      <c r="L147">
        <v>12</v>
      </c>
      <c r="M147">
        <f>(Analysis[[#This Row],[delivery_time]]-Analysis[[#This Row],[pickup_time]])*24</f>
        <v>13.000000000116415</v>
      </c>
      <c r="N147">
        <f>(Analysis[[#This Row],[delivery_time]]-Analysis[[#This Row],[accept_time]])*24</f>
        <v>14.116666666755918</v>
      </c>
      <c r="O147">
        <f>(Analysis[[#This Row],[pickup_time]]-Analysis[[#This Row],[accept_time]])*24</f>
        <v>1.1166666666395031</v>
      </c>
      <c r="P147" t="str">
        <f>IF(Analysis[[#This Row],[Total_Delivery_Hours]]&gt;Analysis[[#This Row],[sla_delivery_hrs]], "Breach", "OK")</f>
        <v>Breach</v>
      </c>
      <c r="Q147">
        <f>IF(Analysis[[#This Row],[delay_reason]]="None", 0,1)</f>
        <v>1</v>
      </c>
    </row>
    <row r="148" spans="1:17" x14ac:dyDescent="0.25">
      <c r="A148" t="s">
        <v>218</v>
      </c>
      <c r="B148" t="s">
        <v>44</v>
      </c>
      <c r="C148" t="s">
        <v>14</v>
      </c>
      <c r="D148" t="s">
        <v>15</v>
      </c>
      <c r="E148" t="s">
        <v>68</v>
      </c>
      <c r="F148">
        <v>1299</v>
      </c>
      <c r="G148" s="1">
        <v>45444.426388888889</v>
      </c>
      <c r="H148" s="1">
        <v>45444.453472222223</v>
      </c>
      <c r="I148" s="1">
        <v>45444.995138888888</v>
      </c>
      <c r="J148">
        <v>22.76</v>
      </c>
      <c r="K148" t="s">
        <v>30</v>
      </c>
      <c r="L148">
        <v>12</v>
      </c>
      <c r="M148">
        <f>(Analysis[[#This Row],[delivery_time]]-Analysis[[#This Row],[pickup_time]])*24</f>
        <v>12.999999999941792</v>
      </c>
      <c r="N148">
        <f>(Analysis[[#This Row],[delivery_time]]-Analysis[[#This Row],[accept_time]])*24</f>
        <v>13.649999999965075</v>
      </c>
      <c r="O148">
        <f>(Analysis[[#This Row],[pickup_time]]-Analysis[[#This Row],[accept_time]])*24</f>
        <v>0.65000000002328306</v>
      </c>
      <c r="P148" t="str">
        <f>IF(Analysis[[#This Row],[Total_Delivery_Hours]]&gt;Analysis[[#This Row],[sla_delivery_hrs]], "Breach", "OK")</f>
        <v>Breach</v>
      </c>
      <c r="Q148">
        <f>IF(Analysis[[#This Row],[delay_reason]]="None", 0,1)</f>
        <v>1</v>
      </c>
    </row>
    <row r="149" spans="1:17" x14ac:dyDescent="0.25">
      <c r="A149" t="s">
        <v>219</v>
      </c>
      <c r="B149" t="s">
        <v>215</v>
      </c>
      <c r="C149" t="s">
        <v>45</v>
      </c>
      <c r="D149" t="s">
        <v>46</v>
      </c>
      <c r="E149" t="s">
        <v>34</v>
      </c>
      <c r="F149">
        <v>1499</v>
      </c>
      <c r="G149" s="1">
        <v>45444.613888888889</v>
      </c>
      <c r="H149" s="1">
        <v>45444.628472222219</v>
      </c>
      <c r="I149" s="1">
        <v>45445.295138888891</v>
      </c>
      <c r="J149">
        <v>12.96</v>
      </c>
      <c r="K149" t="s">
        <v>23</v>
      </c>
      <c r="L149">
        <v>12</v>
      </c>
      <c r="M149">
        <f>(Analysis[[#This Row],[delivery_time]]-Analysis[[#This Row],[pickup_time]])*24</f>
        <v>16.000000000116415</v>
      </c>
      <c r="N149">
        <f>(Analysis[[#This Row],[delivery_time]]-Analysis[[#This Row],[accept_time]])*24</f>
        <v>16.350000000034925</v>
      </c>
      <c r="O149">
        <f>(Analysis[[#This Row],[pickup_time]]-Analysis[[#This Row],[accept_time]])*24</f>
        <v>0.34999999991850927</v>
      </c>
      <c r="P149" t="str">
        <f>IF(Analysis[[#This Row],[Total_Delivery_Hours]]&gt;Analysis[[#This Row],[sla_delivery_hrs]], "Breach", "OK")</f>
        <v>Breach</v>
      </c>
      <c r="Q149">
        <f>IF(Analysis[[#This Row],[delay_reason]]="None", 0,1)</f>
        <v>1</v>
      </c>
    </row>
    <row r="150" spans="1:17" x14ac:dyDescent="0.25">
      <c r="A150" t="s">
        <v>220</v>
      </c>
      <c r="B150" t="s">
        <v>94</v>
      </c>
      <c r="C150" t="s">
        <v>37</v>
      </c>
      <c r="D150" t="s">
        <v>38</v>
      </c>
      <c r="E150" t="s">
        <v>68</v>
      </c>
      <c r="F150">
        <v>499</v>
      </c>
      <c r="G150" s="1">
        <v>45444.714583333334</v>
      </c>
      <c r="H150" s="1">
        <v>45444.728472222225</v>
      </c>
      <c r="I150" s="1">
        <v>45445.228472222225</v>
      </c>
      <c r="J150">
        <v>8.59</v>
      </c>
      <c r="K150" t="s">
        <v>17</v>
      </c>
      <c r="L150">
        <v>12</v>
      </c>
      <c r="M150">
        <f>(Analysis[[#This Row],[delivery_time]]-Analysis[[#This Row],[pickup_time]])*24</f>
        <v>12</v>
      </c>
      <c r="N150">
        <f>(Analysis[[#This Row],[delivery_time]]-Analysis[[#This Row],[accept_time]])*24</f>
        <v>12.333333333372138</v>
      </c>
      <c r="O150">
        <f>(Analysis[[#This Row],[pickup_time]]-Analysis[[#This Row],[accept_time]])*24</f>
        <v>0.33333333337213844</v>
      </c>
      <c r="P150" t="str">
        <f>IF(Analysis[[#This Row],[Total_Delivery_Hours]]&gt;Analysis[[#This Row],[sla_delivery_hrs]], "Breach", "OK")</f>
        <v>OK</v>
      </c>
      <c r="Q150">
        <f>IF(Analysis[[#This Row],[delay_reason]]="None", 0,1)</f>
        <v>1</v>
      </c>
    </row>
    <row r="151" spans="1:17" x14ac:dyDescent="0.25">
      <c r="A151" t="s">
        <v>221</v>
      </c>
      <c r="B151" t="s">
        <v>75</v>
      </c>
      <c r="C151" t="s">
        <v>41</v>
      </c>
      <c r="D151" t="s">
        <v>42</v>
      </c>
      <c r="E151" t="s">
        <v>34</v>
      </c>
      <c r="F151">
        <v>499</v>
      </c>
      <c r="G151" s="1">
        <v>45444.702777777777</v>
      </c>
      <c r="H151" s="1">
        <v>45444.743055555555</v>
      </c>
      <c r="I151" s="1">
        <v>45445.493055555555</v>
      </c>
      <c r="J151">
        <v>11.5</v>
      </c>
      <c r="K151" t="s">
        <v>53</v>
      </c>
      <c r="L151">
        <v>12</v>
      </c>
      <c r="M151">
        <f>(Analysis[[#This Row],[delivery_time]]-Analysis[[#This Row],[pickup_time]])*24</f>
        <v>18</v>
      </c>
      <c r="N151">
        <f>(Analysis[[#This Row],[delivery_time]]-Analysis[[#This Row],[accept_time]])*24</f>
        <v>18.966666666674428</v>
      </c>
      <c r="O151">
        <f>(Analysis[[#This Row],[pickup_time]]-Analysis[[#This Row],[accept_time]])*24</f>
        <v>0.96666666667442769</v>
      </c>
      <c r="P151" t="str">
        <f>IF(Analysis[[#This Row],[Total_Delivery_Hours]]&gt;Analysis[[#This Row],[sla_delivery_hrs]], "Breach", "OK")</f>
        <v>Breach</v>
      </c>
      <c r="Q151">
        <f>IF(Analysis[[#This Row],[delay_reason]]="None", 0,1)</f>
        <v>0</v>
      </c>
    </row>
    <row r="152" spans="1:17" x14ac:dyDescent="0.25">
      <c r="A152" t="s">
        <v>222</v>
      </c>
      <c r="B152" t="s">
        <v>94</v>
      </c>
      <c r="C152" t="s">
        <v>41</v>
      </c>
      <c r="D152" t="s">
        <v>42</v>
      </c>
      <c r="E152" t="s">
        <v>16</v>
      </c>
      <c r="F152">
        <v>199</v>
      </c>
      <c r="G152" s="1">
        <v>45444.728472222225</v>
      </c>
      <c r="H152" s="1">
        <v>45444.790277777778</v>
      </c>
      <c r="I152" s="1">
        <v>45445.081944444442</v>
      </c>
      <c r="J152">
        <v>23.07</v>
      </c>
      <c r="K152" t="s">
        <v>23</v>
      </c>
      <c r="L152">
        <v>12</v>
      </c>
      <c r="M152">
        <f>(Analysis[[#This Row],[delivery_time]]-Analysis[[#This Row],[pickup_time]])*24</f>
        <v>6.9999999999417923</v>
      </c>
      <c r="N152">
        <f>(Analysis[[#This Row],[delivery_time]]-Analysis[[#This Row],[accept_time]])*24</f>
        <v>8.4833333332207985</v>
      </c>
      <c r="O152">
        <f>(Analysis[[#This Row],[pickup_time]]-Analysis[[#This Row],[accept_time]])*24</f>
        <v>1.4833333332790062</v>
      </c>
      <c r="P152" t="str">
        <f>IF(Analysis[[#This Row],[Total_Delivery_Hours]]&gt;Analysis[[#This Row],[sla_delivery_hrs]], "Breach", "OK")</f>
        <v>OK</v>
      </c>
      <c r="Q152">
        <f>IF(Analysis[[#This Row],[delay_reason]]="None", 0,1)</f>
        <v>1</v>
      </c>
    </row>
    <row r="153" spans="1:17" x14ac:dyDescent="0.25">
      <c r="A153" t="s">
        <v>223</v>
      </c>
      <c r="B153" t="s">
        <v>36</v>
      </c>
      <c r="C153" t="s">
        <v>14</v>
      </c>
      <c r="D153" t="s">
        <v>15</v>
      </c>
      <c r="E153" t="s">
        <v>26</v>
      </c>
      <c r="F153">
        <v>499</v>
      </c>
      <c r="G153" s="1">
        <v>45444.540277777778</v>
      </c>
      <c r="H153" s="1">
        <v>45444.571527777778</v>
      </c>
      <c r="I153" s="1">
        <v>45444.863194444442</v>
      </c>
      <c r="J153">
        <v>22.99</v>
      </c>
      <c r="K153" t="s">
        <v>53</v>
      </c>
      <c r="L153">
        <v>12</v>
      </c>
      <c r="M153">
        <f>(Analysis[[#This Row],[delivery_time]]-Analysis[[#This Row],[pickup_time]])*24</f>
        <v>6.9999999999417923</v>
      </c>
      <c r="N153">
        <f>(Analysis[[#This Row],[delivery_time]]-Analysis[[#This Row],[accept_time]])*24</f>
        <v>7.7499999999417923</v>
      </c>
      <c r="O153">
        <f>(Analysis[[#This Row],[pickup_time]]-Analysis[[#This Row],[accept_time]])*24</f>
        <v>0.75</v>
      </c>
      <c r="P153" t="str">
        <f>IF(Analysis[[#This Row],[Total_Delivery_Hours]]&gt;Analysis[[#This Row],[sla_delivery_hrs]], "Breach", "OK")</f>
        <v>OK</v>
      </c>
      <c r="Q153">
        <f>IF(Analysis[[#This Row],[delay_reason]]="None", 0,1)</f>
        <v>0</v>
      </c>
    </row>
    <row r="154" spans="1:17" x14ac:dyDescent="0.25">
      <c r="A154" t="s">
        <v>224</v>
      </c>
      <c r="B154" t="s">
        <v>88</v>
      </c>
      <c r="C154" t="s">
        <v>14</v>
      </c>
      <c r="D154" t="s">
        <v>15</v>
      </c>
      <c r="E154" t="s">
        <v>22</v>
      </c>
      <c r="F154">
        <v>1299</v>
      </c>
      <c r="G154" s="1">
        <v>45444.441666666666</v>
      </c>
      <c r="H154" s="1">
        <v>45444.479861111111</v>
      </c>
      <c r="I154" s="1">
        <v>45444.896527777775</v>
      </c>
      <c r="J154">
        <v>23.88</v>
      </c>
      <c r="K154" t="s">
        <v>23</v>
      </c>
      <c r="L154">
        <v>12</v>
      </c>
      <c r="M154">
        <f>(Analysis[[#This Row],[delivery_time]]-Analysis[[#This Row],[pickup_time]])*24</f>
        <v>9.9999999999417923</v>
      </c>
      <c r="N154">
        <f>(Analysis[[#This Row],[delivery_time]]-Analysis[[#This Row],[accept_time]])*24</f>
        <v>10.916666666627862</v>
      </c>
      <c r="O154">
        <f>(Analysis[[#This Row],[pickup_time]]-Analysis[[#This Row],[accept_time]])*24</f>
        <v>0.91666666668606922</v>
      </c>
      <c r="P154" t="str">
        <f>IF(Analysis[[#This Row],[Total_Delivery_Hours]]&gt;Analysis[[#This Row],[sla_delivery_hrs]], "Breach", "OK")</f>
        <v>OK</v>
      </c>
      <c r="Q154">
        <f>IF(Analysis[[#This Row],[delay_reason]]="None", 0,1)</f>
        <v>1</v>
      </c>
    </row>
    <row r="155" spans="1:17" x14ac:dyDescent="0.25">
      <c r="A155" t="s">
        <v>225</v>
      </c>
      <c r="B155" t="s">
        <v>36</v>
      </c>
      <c r="C155" t="s">
        <v>41</v>
      </c>
      <c r="D155" t="s">
        <v>42</v>
      </c>
      <c r="E155" t="s">
        <v>26</v>
      </c>
      <c r="F155">
        <v>399</v>
      </c>
      <c r="G155" s="1">
        <v>45444.70416666667</v>
      </c>
      <c r="H155" s="1">
        <v>45444.731944444444</v>
      </c>
      <c r="I155" s="1">
        <v>45445.523611111108</v>
      </c>
      <c r="J155">
        <v>22.56</v>
      </c>
      <c r="K155" t="s">
        <v>23</v>
      </c>
      <c r="L155">
        <v>12</v>
      </c>
      <c r="M155">
        <f>(Analysis[[#This Row],[delivery_time]]-Analysis[[#This Row],[pickup_time]])*24</f>
        <v>18.999999999941792</v>
      </c>
      <c r="N155">
        <f>(Analysis[[#This Row],[delivery_time]]-Analysis[[#This Row],[accept_time]])*24</f>
        <v>19.666666666511446</v>
      </c>
      <c r="O155">
        <f>(Analysis[[#This Row],[pickup_time]]-Analysis[[#This Row],[accept_time]])*24</f>
        <v>0.6666666665696539</v>
      </c>
      <c r="P155" t="str">
        <f>IF(Analysis[[#This Row],[Total_Delivery_Hours]]&gt;Analysis[[#This Row],[sla_delivery_hrs]], "Breach", "OK")</f>
        <v>Breach</v>
      </c>
      <c r="Q155">
        <f>IF(Analysis[[#This Row],[delay_reason]]="None", 0,1)</f>
        <v>1</v>
      </c>
    </row>
    <row r="156" spans="1:17" x14ac:dyDescent="0.25">
      <c r="A156" t="s">
        <v>226</v>
      </c>
      <c r="B156" t="s">
        <v>156</v>
      </c>
      <c r="C156" t="s">
        <v>41</v>
      </c>
      <c r="D156" t="s">
        <v>42</v>
      </c>
      <c r="E156" t="s">
        <v>16</v>
      </c>
      <c r="F156">
        <v>199</v>
      </c>
      <c r="G156" s="1">
        <v>45444.672222222223</v>
      </c>
      <c r="H156" s="1">
        <v>45444.701388888891</v>
      </c>
      <c r="I156" s="1">
        <v>45444.951388888891</v>
      </c>
      <c r="J156">
        <v>21.89</v>
      </c>
      <c r="K156" t="s">
        <v>30</v>
      </c>
      <c r="L156">
        <v>12</v>
      </c>
      <c r="M156">
        <f>(Analysis[[#This Row],[delivery_time]]-Analysis[[#This Row],[pickup_time]])*24</f>
        <v>6</v>
      </c>
      <c r="N156">
        <f>(Analysis[[#This Row],[delivery_time]]-Analysis[[#This Row],[accept_time]])*24</f>
        <v>6.7000000000116415</v>
      </c>
      <c r="O156">
        <f>(Analysis[[#This Row],[pickup_time]]-Analysis[[#This Row],[accept_time]])*24</f>
        <v>0.70000000001164153</v>
      </c>
      <c r="P156" t="str">
        <f>IF(Analysis[[#This Row],[Total_Delivery_Hours]]&gt;Analysis[[#This Row],[sla_delivery_hrs]], "Breach", "OK")</f>
        <v>OK</v>
      </c>
      <c r="Q156">
        <f>IF(Analysis[[#This Row],[delay_reason]]="None", 0,1)</f>
        <v>1</v>
      </c>
    </row>
    <row r="157" spans="1:17" x14ac:dyDescent="0.25">
      <c r="A157" t="s">
        <v>227</v>
      </c>
      <c r="B157" t="s">
        <v>127</v>
      </c>
      <c r="C157" t="s">
        <v>14</v>
      </c>
      <c r="D157" t="s">
        <v>15</v>
      </c>
      <c r="E157" t="s">
        <v>68</v>
      </c>
      <c r="F157">
        <v>499</v>
      </c>
      <c r="G157" s="1">
        <v>45444.738888888889</v>
      </c>
      <c r="H157" s="1">
        <v>45444.781944444447</v>
      </c>
      <c r="I157" s="1">
        <v>45445.073611111111</v>
      </c>
      <c r="J157">
        <v>13.25</v>
      </c>
      <c r="K157" t="s">
        <v>23</v>
      </c>
      <c r="L157">
        <v>12</v>
      </c>
      <c r="M157">
        <f>(Analysis[[#This Row],[delivery_time]]-Analysis[[#This Row],[pickup_time]])*24</f>
        <v>6.9999999999417923</v>
      </c>
      <c r="N157">
        <f>(Analysis[[#This Row],[delivery_time]]-Analysis[[#This Row],[accept_time]])*24</f>
        <v>8.0333333333255723</v>
      </c>
      <c r="O157">
        <f>(Analysis[[#This Row],[pickup_time]]-Analysis[[#This Row],[accept_time]])*24</f>
        <v>1.03333333338378</v>
      </c>
      <c r="P157" t="str">
        <f>IF(Analysis[[#This Row],[Total_Delivery_Hours]]&gt;Analysis[[#This Row],[sla_delivery_hrs]], "Breach", "OK")</f>
        <v>OK</v>
      </c>
      <c r="Q157">
        <f>IF(Analysis[[#This Row],[delay_reason]]="None", 0,1)</f>
        <v>1</v>
      </c>
    </row>
    <row r="158" spans="1:17" x14ac:dyDescent="0.25">
      <c r="A158" t="s">
        <v>228</v>
      </c>
      <c r="B158" t="s">
        <v>78</v>
      </c>
      <c r="C158" t="s">
        <v>41</v>
      </c>
      <c r="D158" t="s">
        <v>42</v>
      </c>
      <c r="E158" t="s">
        <v>29</v>
      </c>
      <c r="F158">
        <v>1299</v>
      </c>
      <c r="G158" s="1">
        <v>45444.765277777777</v>
      </c>
      <c r="H158" s="1">
        <v>45444.836111111108</v>
      </c>
      <c r="I158" s="1">
        <v>45445.25277777778</v>
      </c>
      <c r="J158">
        <v>18.899999999999999</v>
      </c>
      <c r="K158" t="s">
        <v>23</v>
      </c>
      <c r="L158">
        <v>12</v>
      </c>
      <c r="M158">
        <f>(Analysis[[#This Row],[delivery_time]]-Analysis[[#This Row],[pickup_time]])*24</f>
        <v>10.000000000116415</v>
      </c>
      <c r="N158">
        <f>(Analysis[[#This Row],[delivery_time]]-Analysis[[#This Row],[accept_time]])*24</f>
        <v>11.700000000069849</v>
      </c>
      <c r="O158">
        <f>(Analysis[[#This Row],[pickup_time]]-Analysis[[#This Row],[accept_time]])*24</f>
        <v>1.6999999999534339</v>
      </c>
      <c r="P158" t="str">
        <f>IF(Analysis[[#This Row],[Total_Delivery_Hours]]&gt;Analysis[[#This Row],[sla_delivery_hrs]], "Breach", "OK")</f>
        <v>OK</v>
      </c>
      <c r="Q158">
        <f>IF(Analysis[[#This Row],[delay_reason]]="None", 0,1)</f>
        <v>1</v>
      </c>
    </row>
    <row r="159" spans="1:17" x14ac:dyDescent="0.25">
      <c r="A159" t="s">
        <v>229</v>
      </c>
      <c r="B159" t="s">
        <v>127</v>
      </c>
      <c r="C159" t="s">
        <v>45</v>
      </c>
      <c r="D159" t="s">
        <v>46</v>
      </c>
      <c r="E159" t="s">
        <v>68</v>
      </c>
      <c r="F159">
        <v>699</v>
      </c>
      <c r="G159" s="1">
        <v>45444.73541666667</v>
      </c>
      <c r="H159" s="1">
        <v>45444.755555555559</v>
      </c>
      <c r="I159" s="1">
        <v>45444.963888888888</v>
      </c>
      <c r="J159">
        <v>11.44</v>
      </c>
      <c r="K159" t="s">
        <v>53</v>
      </c>
      <c r="L159">
        <v>12</v>
      </c>
      <c r="M159">
        <f>(Analysis[[#This Row],[delivery_time]]-Analysis[[#This Row],[pickup_time]])*24</f>
        <v>4.9999999998835847</v>
      </c>
      <c r="N159">
        <f>(Analysis[[#This Row],[delivery_time]]-Analysis[[#This Row],[accept_time]])*24</f>
        <v>5.4833333332207985</v>
      </c>
      <c r="O159">
        <f>(Analysis[[#This Row],[pickup_time]]-Analysis[[#This Row],[accept_time]])*24</f>
        <v>0.48333333333721384</v>
      </c>
      <c r="P159" t="str">
        <f>IF(Analysis[[#This Row],[Total_Delivery_Hours]]&gt;Analysis[[#This Row],[sla_delivery_hrs]], "Breach", "OK")</f>
        <v>OK</v>
      </c>
      <c r="Q159">
        <f>IF(Analysis[[#This Row],[delay_reason]]="None", 0,1)</f>
        <v>0</v>
      </c>
    </row>
    <row r="160" spans="1:17" x14ac:dyDescent="0.25">
      <c r="A160" t="s">
        <v>230</v>
      </c>
      <c r="B160" t="s">
        <v>132</v>
      </c>
      <c r="C160" t="s">
        <v>45</v>
      </c>
      <c r="D160" t="s">
        <v>46</v>
      </c>
      <c r="E160" t="s">
        <v>34</v>
      </c>
      <c r="F160">
        <v>199</v>
      </c>
      <c r="G160" s="1">
        <v>45444.440972222219</v>
      </c>
      <c r="H160" s="1">
        <v>45444.457638888889</v>
      </c>
      <c r="I160" s="1">
        <v>45445.124305555553</v>
      </c>
      <c r="J160">
        <v>22.87</v>
      </c>
      <c r="K160" t="s">
        <v>30</v>
      </c>
      <c r="L160">
        <v>12</v>
      </c>
      <c r="M160">
        <f>(Analysis[[#This Row],[delivery_time]]-Analysis[[#This Row],[pickup_time]])*24</f>
        <v>15.999999999941792</v>
      </c>
      <c r="N160">
        <f>(Analysis[[#This Row],[delivery_time]]-Analysis[[#This Row],[accept_time]])*24</f>
        <v>16.400000000023283</v>
      </c>
      <c r="O160">
        <f>(Analysis[[#This Row],[pickup_time]]-Analysis[[#This Row],[accept_time]])*24</f>
        <v>0.40000000008149073</v>
      </c>
      <c r="P160" t="str">
        <f>IF(Analysis[[#This Row],[Total_Delivery_Hours]]&gt;Analysis[[#This Row],[sla_delivery_hrs]], "Breach", "OK")</f>
        <v>Breach</v>
      </c>
      <c r="Q160">
        <f>IF(Analysis[[#This Row],[delay_reason]]="None", 0,1)</f>
        <v>1</v>
      </c>
    </row>
    <row r="161" spans="1:17" x14ac:dyDescent="0.25">
      <c r="A161" t="s">
        <v>231</v>
      </c>
      <c r="B161" t="s">
        <v>70</v>
      </c>
      <c r="C161" t="s">
        <v>20</v>
      </c>
      <c r="D161" t="s">
        <v>21</v>
      </c>
      <c r="E161" t="s">
        <v>22</v>
      </c>
      <c r="F161">
        <v>299</v>
      </c>
      <c r="G161" s="1">
        <v>45444.697222222225</v>
      </c>
      <c r="H161" s="1">
        <v>45444.713194444441</v>
      </c>
      <c r="I161" s="1">
        <v>45444.963194444441</v>
      </c>
      <c r="J161">
        <v>15.64</v>
      </c>
      <c r="K161" t="s">
        <v>30</v>
      </c>
      <c r="L161">
        <v>12</v>
      </c>
      <c r="M161">
        <f>(Analysis[[#This Row],[delivery_time]]-Analysis[[#This Row],[pickup_time]])*24</f>
        <v>6</v>
      </c>
      <c r="N161">
        <f>(Analysis[[#This Row],[delivery_time]]-Analysis[[#This Row],[accept_time]])*24</f>
        <v>6.3833333331858739</v>
      </c>
      <c r="O161">
        <f>(Analysis[[#This Row],[pickup_time]]-Analysis[[#This Row],[accept_time]])*24</f>
        <v>0.38333333318587393</v>
      </c>
      <c r="P161" t="str">
        <f>IF(Analysis[[#This Row],[Total_Delivery_Hours]]&gt;Analysis[[#This Row],[sla_delivery_hrs]], "Breach", "OK")</f>
        <v>OK</v>
      </c>
      <c r="Q161">
        <f>IF(Analysis[[#This Row],[delay_reason]]="None", 0,1)</f>
        <v>1</v>
      </c>
    </row>
    <row r="162" spans="1:17" x14ac:dyDescent="0.25">
      <c r="A162" t="s">
        <v>232</v>
      </c>
      <c r="B162" t="s">
        <v>62</v>
      </c>
      <c r="C162" t="s">
        <v>20</v>
      </c>
      <c r="D162" t="s">
        <v>21</v>
      </c>
      <c r="E162" t="s">
        <v>29</v>
      </c>
      <c r="F162">
        <v>399</v>
      </c>
      <c r="G162" s="1">
        <v>45444.786805555559</v>
      </c>
      <c r="H162" s="1">
        <v>45444.861111111109</v>
      </c>
      <c r="I162" s="1">
        <v>45445.444444444445</v>
      </c>
      <c r="J162">
        <v>16.010000000000002</v>
      </c>
      <c r="K162" t="s">
        <v>30</v>
      </c>
      <c r="L162">
        <v>12</v>
      </c>
      <c r="M162">
        <f>(Analysis[[#This Row],[delivery_time]]-Analysis[[#This Row],[pickup_time]])*24</f>
        <v>14.000000000058208</v>
      </c>
      <c r="N162">
        <f>(Analysis[[#This Row],[delivery_time]]-Analysis[[#This Row],[accept_time]])*24</f>
        <v>15.783333333267365</v>
      </c>
      <c r="O162">
        <f>(Analysis[[#This Row],[pickup_time]]-Analysis[[#This Row],[accept_time]])*24</f>
        <v>1.783333333209157</v>
      </c>
      <c r="P162" t="str">
        <f>IF(Analysis[[#This Row],[Total_Delivery_Hours]]&gt;Analysis[[#This Row],[sla_delivery_hrs]], "Breach", "OK")</f>
        <v>Breach</v>
      </c>
      <c r="Q162">
        <f>IF(Analysis[[#This Row],[delay_reason]]="None", 0,1)</f>
        <v>1</v>
      </c>
    </row>
    <row r="163" spans="1:17" x14ac:dyDescent="0.25">
      <c r="A163" t="s">
        <v>233</v>
      </c>
      <c r="B163" t="s">
        <v>96</v>
      </c>
      <c r="C163" t="s">
        <v>41</v>
      </c>
      <c r="D163" t="s">
        <v>42</v>
      </c>
      <c r="E163" t="s">
        <v>68</v>
      </c>
      <c r="F163">
        <v>199</v>
      </c>
      <c r="G163" s="1">
        <v>45444.412499999999</v>
      </c>
      <c r="H163" s="1">
        <v>45444.439583333333</v>
      </c>
      <c r="I163" s="1">
        <v>45444.897916666669</v>
      </c>
      <c r="J163">
        <v>7.77</v>
      </c>
      <c r="K163" t="s">
        <v>30</v>
      </c>
      <c r="L163">
        <v>12</v>
      </c>
      <c r="M163">
        <f>(Analysis[[#This Row],[delivery_time]]-Analysis[[#This Row],[pickup_time]])*24</f>
        <v>11.000000000058208</v>
      </c>
      <c r="N163">
        <f>(Analysis[[#This Row],[delivery_time]]-Analysis[[#This Row],[accept_time]])*24</f>
        <v>11.650000000081491</v>
      </c>
      <c r="O163">
        <f>(Analysis[[#This Row],[pickup_time]]-Analysis[[#This Row],[accept_time]])*24</f>
        <v>0.65000000002328306</v>
      </c>
      <c r="P163" t="str">
        <f>IF(Analysis[[#This Row],[Total_Delivery_Hours]]&gt;Analysis[[#This Row],[sla_delivery_hrs]], "Breach", "OK")</f>
        <v>OK</v>
      </c>
      <c r="Q163">
        <f>IF(Analysis[[#This Row],[delay_reason]]="None", 0,1)</f>
        <v>1</v>
      </c>
    </row>
    <row r="164" spans="1:17" x14ac:dyDescent="0.25">
      <c r="A164" t="s">
        <v>234</v>
      </c>
      <c r="B164" t="s">
        <v>122</v>
      </c>
      <c r="C164" t="s">
        <v>45</v>
      </c>
      <c r="D164" t="s">
        <v>46</v>
      </c>
      <c r="E164" t="s">
        <v>68</v>
      </c>
      <c r="F164">
        <v>499</v>
      </c>
      <c r="G164" s="1">
        <v>45444.790972222225</v>
      </c>
      <c r="H164" s="1">
        <v>45444.815972222219</v>
      </c>
      <c r="I164" s="1">
        <v>45445.024305555555</v>
      </c>
      <c r="J164">
        <v>13.99</v>
      </c>
      <c r="K164" t="s">
        <v>30</v>
      </c>
      <c r="L164">
        <v>12</v>
      </c>
      <c r="M164">
        <f>(Analysis[[#This Row],[delivery_time]]-Analysis[[#This Row],[pickup_time]])*24</f>
        <v>5.0000000000582077</v>
      </c>
      <c r="N164">
        <f>(Analysis[[#This Row],[delivery_time]]-Analysis[[#This Row],[accept_time]])*24</f>
        <v>5.5999999999185093</v>
      </c>
      <c r="O164">
        <f>(Analysis[[#This Row],[pickup_time]]-Analysis[[#This Row],[accept_time]])*24</f>
        <v>0.59999999986030161</v>
      </c>
      <c r="P164" t="str">
        <f>IF(Analysis[[#This Row],[Total_Delivery_Hours]]&gt;Analysis[[#This Row],[sla_delivery_hrs]], "Breach", "OK")</f>
        <v>OK</v>
      </c>
      <c r="Q164">
        <f>IF(Analysis[[#This Row],[delay_reason]]="None", 0,1)</f>
        <v>1</v>
      </c>
    </row>
    <row r="165" spans="1:17" x14ac:dyDescent="0.25">
      <c r="A165" t="s">
        <v>235</v>
      </c>
      <c r="B165" t="s">
        <v>70</v>
      </c>
      <c r="C165" t="s">
        <v>45</v>
      </c>
      <c r="D165" t="s">
        <v>46</v>
      </c>
      <c r="E165" t="s">
        <v>26</v>
      </c>
      <c r="F165">
        <v>499</v>
      </c>
      <c r="G165" s="1">
        <v>45444.392361111109</v>
      </c>
      <c r="H165" s="1">
        <v>45444.413888888892</v>
      </c>
      <c r="I165" s="1">
        <v>45445.080555555556</v>
      </c>
      <c r="J165">
        <v>21.41</v>
      </c>
      <c r="K165" t="s">
        <v>17</v>
      </c>
      <c r="L165">
        <v>12</v>
      </c>
      <c r="M165">
        <f>(Analysis[[#This Row],[delivery_time]]-Analysis[[#This Row],[pickup_time]])*24</f>
        <v>15.999999999941792</v>
      </c>
      <c r="N165">
        <f>(Analysis[[#This Row],[delivery_time]]-Analysis[[#This Row],[accept_time]])*24</f>
        <v>16.516666666720994</v>
      </c>
      <c r="O165">
        <f>(Analysis[[#This Row],[pickup_time]]-Analysis[[#This Row],[accept_time]])*24</f>
        <v>0.51666666677920148</v>
      </c>
      <c r="P165" t="str">
        <f>IF(Analysis[[#This Row],[Total_Delivery_Hours]]&gt;Analysis[[#This Row],[sla_delivery_hrs]], "Breach", "OK")</f>
        <v>Breach</v>
      </c>
      <c r="Q165">
        <f>IF(Analysis[[#This Row],[delay_reason]]="None", 0,1)</f>
        <v>1</v>
      </c>
    </row>
    <row r="166" spans="1:17" x14ac:dyDescent="0.25">
      <c r="A166" t="s">
        <v>236</v>
      </c>
      <c r="B166" t="s">
        <v>19</v>
      </c>
      <c r="C166" t="s">
        <v>20</v>
      </c>
      <c r="D166" t="s">
        <v>21</v>
      </c>
      <c r="E166" t="s">
        <v>26</v>
      </c>
      <c r="F166">
        <v>2499</v>
      </c>
      <c r="G166" s="1">
        <v>45444.622916666667</v>
      </c>
      <c r="H166" s="1">
        <v>45444.663194444445</v>
      </c>
      <c r="I166" s="1">
        <v>45444.829861111109</v>
      </c>
      <c r="J166">
        <v>17.21</v>
      </c>
      <c r="K166" t="s">
        <v>23</v>
      </c>
      <c r="L166">
        <v>12</v>
      </c>
      <c r="M166">
        <f>(Analysis[[#This Row],[delivery_time]]-Analysis[[#This Row],[pickup_time]])*24</f>
        <v>3.9999999999417923</v>
      </c>
      <c r="N166">
        <f>(Analysis[[#This Row],[delivery_time]]-Analysis[[#This Row],[accept_time]])*24</f>
        <v>4.96666666661622</v>
      </c>
      <c r="O166">
        <f>(Analysis[[#This Row],[pickup_time]]-Analysis[[#This Row],[accept_time]])*24</f>
        <v>0.96666666667442769</v>
      </c>
      <c r="P166" t="str">
        <f>IF(Analysis[[#This Row],[Total_Delivery_Hours]]&gt;Analysis[[#This Row],[sla_delivery_hrs]], "Breach", "OK")</f>
        <v>OK</v>
      </c>
      <c r="Q166">
        <f>IF(Analysis[[#This Row],[delay_reason]]="None", 0,1)</f>
        <v>1</v>
      </c>
    </row>
    <row r="167" spans="1:17" x14ac:dyDescent="0.25">
      <c r="A167" t="s">
        <v>237</v>
      </c>
      <c r="B167" t="s">
        <v>36</v>
      </c>
      <c r="C167" t="s">
        <v>37</v>
      </c>
      <c r="D167" t="s">
        <v>38</v>
      </c>
      <c r="E167" t="s">
        <v>26</v>
      </c>
      <c r="F167">
        <v>1999</v>
      </c>
      <c r="G167" s="1">
        <v>45444.682638888888</v>
      </c>
      <c r="H167" s="1">
        <v>45444.716666666667</v>
      </c>
      <c r="I167" s="1">
        <v>45445.175000000003</v>
      </c>
      <c r="J167">
        <v>11.08</v>
      </c>
      <c r="K167" t="s">
        <v>30</v>
      </c>
      <c r="L167">
        <v>12</v>
      </c>
      <c r="M167">
        <f>(Analysis[[#This Row],[delivery_time]]-Analysis[[#This Row],[pickup_time]])*24</f>
        <v>11.000000000058208</v>
      </c>
      <c r="N167">
        <f>(Analysis[[#This Row],[delivery_time]]-Analysis[[#This Row],[accept_time]])*24</f>
        <v>11.81666666676756</v>
      </c>
      <c r="O167">
        <f>(Analysis[[#This Row],[pickup_time]]-Analysis[[#This Row],[accept_time]])*24</f>
        <v>0.81666666670935228</v>
      </c>
      <c r="P167" t="str">
        <f>IF(Analysis[[#This Row],[Total_Delivery_Hours]]&gt;Analysis[[#This Row],[sla_delivery_hrs]], "Breach", "OK")</f>
        <v>OK</v>
      </c>
      <c r="Q167">
        <f>IF(Analysis[[#This Row],[delay_reason]]="None", 0,1)</f>
        <v>1</v>
      </c>
    </row>
    <row r="168" spans="1:17" x14ac:dyDescent="0.25">
      <c r="A168" t="s">
        <v>238</v>
      </c>
      <c r="B168" t="s">
        <v>36</v>
      </c>
      <c r="C168" t="s">
        <v>41</v>
      </c>
      <c r="D168" t="s">
        <v>42</v>
      </c>
      <c r="E168" t="s">
        <v>26</v>
      </c>
      <c r="F168">
        <v>699</v>
      </c>
      <c r="G168" s="1">
        <v>45444.563888888886</v>
      </c>
      <c r="H168" s="1">
        <v>45444.628472222219</v>
      </c>
      <c r="I168" s="1">
        <v>45445.045138888891</v>
      </c>
      <c r="J168">
        <v>10.06</v>
      </c>
      <c r="K168" t="s">
        <v>30</v>
      </c>
      <c r="L168">
        <v>12</v>
      </c>
      <c r="M168">
        <f>(Analysis[[#This Row],[delivery_time]]-Analysis[[#This Row],[pickup_time]])*24</f>
        <v>10.000000000116415</v>
      </c>
      <c r="N168">
        <f>(Analysis[[#This Row],[delivery_time]]-Analysis[[#This Row],[accept_time]])*24</f>
        <v>11.550000000104774</v>
      </c>
      <c r="O168">
        <f>(Analysis[[#This Row],[pickup_time]]-Analysis[[#This Row],[accept_time]])*24</f>
        <v>1.5499999999883585</v>
      </c>
      <c r="P168" t="str">
        <f>IF(Analysis[[#This Row],[Total_Delivery_Hours]]&gt;Analysis[[#This Row],[sla_delivery_hrs]], "Breach", "OK")</f>
        <v>OK</v>
      </c>
      <c r="Q168">
        <f>IF(Analysis[[#This Row],[delay_reason]]="None", 0,1)</f>
        <v>1</v>
      </c>
    </row>
    <row r="169" spans="1:17" x14ac:dyDescent="0.25">
      <c r="A169" t="s">
        <v>239</v>
      </c>
      <c r="B169" t="s">
        <v>158</v>
      </c>
      <c r="C169" t="s">
        <v>41</v>
      </c>
      <c r="D169" t="s">
        <v>42</v>
      </c>
      <c r="E169" t="s">
        <v>68</v>
      </c>
      <c r="F169">
        <v>1499</v>
      </c>
      <c r="G169" s="1">
        <v>45444.598611111112</v>
      </c>
      <c r="H169" s="1">
        <v>45444.654861111114</v>
      </c>
      <c r="I169" s="1">
        <v>45444.946527777778</v>
      </c>
      <c r="J169">
        <v>13.96</v>
      </c>
      <c r="K169" t="s">
        <v>17</v>
      </c>
      <c r="L169">
        <v>12</v>
      </c>
      <c r="M169">
        <f>(Analysis[[#This Row],[delivery_time]]-Analysis[[#This Row],[pickup_time]])*24</f>
        <v>6.9999999999417923</v>
      </c>
      <c r="N169">
        <f>(Analysis[[#This Row],[delivery_time]]-Analysis[[#This Row],[accept_time]])*24</f>
        <v>8.3499999999767169</v>
      </c>
      <c r="O169">
        <f>(Analysis[[#This Row],[pickup_time]]-Analysis[[#This Row],[accept_time]])*24</f>
        <v>1.3500000000349246</v>
      </c>
      <c r="P169" t="str">
        <f>IF(Analysis[[#This Row],[Total_Delivery_Hours]]&gt;Analysis[[#This Row],[sla_delivery_hrs]], "Breach", "OK")</f>
        <v>OK</v>
      </c>
      <c r="Q169">
        <f>IF(Analysis[[#This Row],[delay_reason]]="None", 0,1)</f>
        <v>1</v>
      </c>
    </row>
    <row r="170" spans="1:17" x14ac:dyDescent="0.25">
      <c r="A170" t="s">
        <v>240</v>
      </c>
      <c r="B170" t="s">
        <v>44</v>
      </c>
      <c r="C170" t="s">
        <v>14</v>
      </c>
      <c r="D170" t="s">
        <v>15</v>
      </c>
      <c r="E170" t="s">
        <v>34</v>
      </c>
      <c r="F170">
        <v>1499</v>
      </c>
      <c r="G170" s="1">
        <v>45444.690972222219</v>
      </c>
      <c r="H170" s="1">
        <v>45444.731249999997</v>
      </c>
      <c r="I170" s="1">
        <v>45445.189583333333</v>
      </c>
      <c r="J170">
        <v>21.59</v>
      </c>
      <c r="K170" t="s">
        <v>53</v>
      </c>
      <c r="L170">
        <v>12</v>
      </c>
      <c r="M170">
        <f>(Analysis[[#This Row],[delivery_time]]-Analysis[[#This Row],[pickup_time]])*24</f>
        <v>11.000000000058208</v>
      </c>
      <c r="N170">
        <f>(Analysis[[#This Row],[delivery_time]]-Analysis[[#This Row],[accept_time]])*24</f>
        <v>11.966666666732635</v>
      </c>
      <c r="O170">
        <f>(Analysis[[#This Row],[pickup_time]]-Analysis[[#This Row],[accept_time]])*24</f>
        <v>0.96666666667442769</v>
      </c>
      <c r="P170" t="str">
        <f>IF(Analysis[[#This Row],[Total_Delivery_Hours]]&gt;Analysis[[#This Row],[sla_delivery_hrs]], "Breach", "OK")</f>
        <v>OK</v>
      </c>
      <c r="Q170">
        <f>IF(Analysis[[#This Row],[delay_reason]]="None", 0,1)</f>
        <v>0</v>
      </c>
    </row>
    <row r="171" spans="1:17" x14ac:dyDescent="0.25">
      <c r="A171" t="s">
        <v>241</v>
      </c>
      <c r="B171" t="s">
        <v>36</v>
      </c>
      <c r="C171" t="s">
        <v>45</v>
      </c>
      <c r="D171" t="s">
        <v>46</v>
      </c>
      <c r="E171" t="s">
        <v>34</v>
      </c>
      <c r="F171">
        <v>299</v>
      </c>
      <c r="G171" s="1">
        <v>45444.515972222223</v>
      </c>
      <c r="H171" s="1">
        <v>45444.590277777781</v>
      </c>
      <c r="I171" s="1">
        <v>45445.006944444445</v>
      </c>
      <c r="J171">
        <v>16.260000000000002</v>
      </c>
      <c r="K171" t="s">
        <v>53</v>
      </c>
      <c r="L171">
        <v>12</v>
      </c>
      <c r="M171">
        <f>(Analysis[[#This Row],[delivery_time]]-Analysis[[#This Row],[pickup_time]])*24</f>
        <v>9.9999999999417923</v>
      </c>
      <c r="N171">
        <f>(Analysis[[#This Row],[delivery_time]]-Analysis[[#This Row],[accept_time]])*24</f>
        <v>11.783333333325572</v>
      </c>
      <c r="O171">
        <f>(Analysis[[#This Row],[pickup_time]]-Analysis[[#This Row],[accept_time]])*24</f>
        <v>1.78333333338378</v>
      </c>
      <c r="P171" t="str">
        <f>IF(Analysis[[#This Row],[Total_Delivery_Hours]]&gt;Analysis[[#This Row],[sla_delivery_hrs]], "Breach", "OK")</f>
        <v>OK</v>
      </c>
      <c r="Q171">
        <f>IF(Analysis[[#This Row],[delay_reason]]="None", 0,1)</f>
        <v>0</v>
      </c>
    </row>
    <row r="172" spans="1:17" x14ac:dyDescent="0.25">
      <c r="A172" t="s">
        <v>242</v>
      </c>
      <c r="B172" t="s">
        <v>57</v>
      </c>
      <c r="C172" t="s">
        <v>45</v>
      </c>
      <c r="D172" t="s">
        <v>46</v>
      </c>
      <c r="E172" t="s">
        <v>26</v>
      </c>
      <c r="F172">
        <v>1999</v>
      </c>
      <c r="G172" s="1">
        <v>45444.570833333331</v>
      </c>
      <c r="H172" s="1">
        <v>45444.634722222225</v>
      </c>
      <c r="I172" s="1">
        <v>45444.884722222225</v>
      </c>
      <c r="J172">
        <v>22.76</v>
      </c>
      <c r="K172" t="s">
        <v>17</v>
      </c>
      <c r="L172">
        <v>12</v>
      </c>
      <c r="M172">
        <f>(Analysis[[#This Row],[delivery_time]]-Analysis[[#This Row],[pickup_time]])*24</f>
        <v>6</v>
      </c>
      <c r="N172">
        <f>(Analysis[[#This Row],[delivery_time]]-Analysis[[#This Row],[accept_time]])*24</f>
        <v>7.5333333334419876</v>
      </c>
      <c r="O172">
        <f>(Analysis[[#This Row],[pickup_time]]-Analysis[[#This Row],[accept_time]])*24</f>
        <v>1.5333333334419876</v>
      </c>
      <c r="P172" t="str">
        <f>IF(Analysis[[#This Row],[Total_Delivery_Hours]]&gt;Analysis[[#This Row],[sla_delivery_hrs]], "Breach", "OK")</f>
        <v>OK</v>
      </c>
      <c r="Q172">
        <f>IF(Analysis[[#This Row],[delay_reason]]="None", 0,1)</f>
        <v>1</v>
      </c>
    </row>
    <row r="173" spans="1:17" x14ac:dyDescent="0.25">
      <c r="A173" t="s">
        <v>243</v>
      </c>
      <c r="B173" t="s">
        <v>84</v>
      </c>
      <c r="C173" t="s">
        <v>20</v>
      </c>
      <c r="D173" t="s">
        <v>21</v>
      </c>
      <c r="E173" t="s">
        <v>16</v>
      </c>
      <c r="F173">
        <v>399</v>
      </c>
      <c r="G173" s="1">
        <v>45444.604166666664</v>
      </c>
      <c r="H173" s="1">
        <v>45444.631944444445</v>
      </c>
      <c r="I173" s="1">
        <v>45445.090277777781</v>
      </c>
      <c r="J173">
        <v>11.06</v>
      </c>
      <c r="K173" t="s">
        <v>17</v>
      </c>
      <c r="L173">
        <v>12</v>
      </c>
      <c r="M173">
        <f>(Analysis[[#This Row],[delivery_time]]-Analysis[[#This Row],[pickup_time]])*24</f>
        <v>11.000000000058208</v>
      </c>
      <c r="N173">
        <f>(Analysis[[#This Row],[delivery_time]]-Analysis[[#This Row],[accept_time]])*24</f>
        <v>11.666666666802485</v>
      </c>
      <c r="O173">
        <f>(Analysis[[#This Row],[pickup_time]]-Analysis[[#This Row],[accept_time]])*24</f>
        <v>0.66666666674427688</v>
      </c>
      <c r="P173" t="str">
        <f>IF(Analysis[[#This Row],[Total_Delivery_Hours]]&gt;Analysis[[#This Row],[sla_delivery_hrs]], "Breach", "OK")</f>
        <v>OK</v>
      </c>
      <c r="Q173">
        <f>IF(Analysis[[#This Row],[delay_reason]]="None", 0,1)</f>
        <v>1</v>
      </c>
    </row>
    <row r="174" spans="1:17" x14ac:dyDescent="0.25">
      <c r="A174" t="s">
        <v>244</v>
      </c>
      <c r="B174" t="s">
        <v>66</v>
      </c>
      <c r="C174" t="s">
        <v>37</v>
      </c>
      <c r="D174" t="s">
        <v>38</v>
      </c>
      <c r="E174" t="s">
        <v>16</v>
      </c>
      <c r="F174">
        <v>199</v>
      </c>
      <c r="G174" s="1">
        <v>45444.427777777775</v>
      </c>
      <c r="H174" s="1">
        <v>45444.479861111111</v>
      </c>
      <c r="I174" s="1">
        <v>45445.271527777775</v>
      </c>
      <c r="J174">
        <v>14.19</v>
      </c>
      <c r="K174" t="s">
        <v>53</v>
      </c>
      <c r="L174">
        <v>12</v>
      </c>
      <c r="M174">
        <f>(Analysis[[#This Row],[delivery_time]]-Analysis[[#This Row],[pickup_time]])*24</f>
        <v>18.999999999941792</v>
      </c>
      <c r="N174">
        <f>(Analysis[[#This Row],[delivery_time]]-Analysis[[#This Row],[accept_time]])*24</f>
        <v>20.25</v>
      </c>
      <c r="O174">
        <f>(Analysis[[#This Row],[pickup_time]]-Analysis[[#This Row],[accept_time]])*24</f>
        <v>1.2500000000582077</v>
      </c>
      <c r="P174" t="str">
        <f>IF(Analysis[[#This Row],[Total_Delivery_Hours]]&gt;Analysis[[#This Row],[sla_delivery_hrs]], "Breach", "OK")</f>
        <v>Breach</v>
      </c>
      <c r="Q174">
        <f>IF(Analysis[[#This Row],[delay_reason]]="None", 0,1)</f>
        <v>0</v>
      </c>
    </row>
    <row r="175" spans="1:17" x14ac:dyDescent="0.25">
      <c r="A175" t="s">
        <v>245</v>
      </c>
      <c r="B175" t="s">
        <v>94</v>
      </c>
      <c r="C175" t="s">
        <v>14</v>
      </c>
      <c r="D175" t="s">
        <v>15</v>
      </c>
      <c r="E175" t="s">
        <v>29</v>
      </c>
      <c r="F175">
        <v>699</v>
      </c>
      <c r="G175" s="1">
        <v>45444.618055555555</v>
      </c>
      <c r="H175" s="1">
        <v>45444.65625</v>
      </c>
      <c r="I175" s="1">
        <v>45445.114583333336</v>
      </c>
      <c r="J175">
        <v>15.1</v>
      </c>
      <c r="K175" t="s">
        <v>30</v>
      </c>
      <c r="L175">
        <v>12</v>
      </c>
      <c r="M175">
        <f>(Analysis[[#This Row],[delivery_time]]-Analysis[[#This Row],[pickup_time]])*24</f>
        <v>11.000000000058208</v>
      </c>
      <c r="N175">
        <f>(Analysis[[#This Row],[delivery_time]]-Analysis[[#This Row],[accept_time]])*24</f>
        <v>11.916666666744277</v>
      </c>
      <c r="O175">
        <f>(Analysis[[#This Row],[pickup_time]]-Analysis[[#This Row],[accept_time]])*24</f>
        <v>0.91666666668606922</v>
      </c>
      <c r="P175" t="str">
        <f>IF(Analysis[[#This Row],[Total_Delivery_Hours]]&gt;Analysis[[#This Row],[sla_delivery_hrs]], "Breach", "OK")</f>
        <v>OK</v>
      </c>
      <c r="Q175">
        <f>IF(Analysis[[#This Row],[delay_reason]]="None", 0,1)</f>
        <v>1</v>
      </c>
    </row>
    <row r="176" spans="1:17" x14ac:dyDescent="0.25">
      <c r="A176" t="s">
        <v>246</v>
      </c>
      <c r="B176" t="s">
        <v>88</v>
      </c>
      <c r="C176" t="s">
        <v>14</v>
      </c>
      <c r="D176" t="s">
        <v>15</v>
      </c>
      <c r="E176" t="s">
        <v>34</v>
      </c>
      <c r="F176">
        <v>1499</v>
      </c>
      <c r="G176" s="1">
        <v>45444.502083333333</v>
      </c>
      <c r="H176" s="1">
        <v>45444.540277777778</v>
      </c>
      <c r="I176" s="1">
        <v>45445.248611111114</v>
      </c>
      <c r="J176">
        <v>20.079999999999998</v>
      </c>
      <c r="K176" t="s">
        <v>23</v>
      </c>
      <c r="L176">
        <v>12</v>
      </c>
      <c r="M176">
        <f>(Analysis[[#This Row],[delivery_time]]-Analysis[[#This Row],[pickup_time]])*24</f>
        <v>17.000000000058208</v>
      </c>
      <c r="N176">
        <f>(Analysis[[#This Row],[delivery_time]]-Analysis[[#This Row],[accept_time]])*24</f>
        <v>17.916666666744277</v>
      </c>
      <c r="O176">
        <f>(Analysis[[#This Row],[pickup_time]]-Analysis[[#This Row],[accept_time]])*24</f>
        <v>0.91666666668606922</v>
      </c>
      <c r="P176" t="str">
        <f>IF(Analysis[[#This Row],[Total_Delivery_Hours]]&gt;Analysis[[#This Row],[sla_delivery_hrs]], "Breach", "OK")</f>
        <v>Breach</v>
      </c>
      <c r="Q176">
        <f>IF(Analysis[[#This Row],[delay_reason]]="None", 0,1)</f>
        <v>1</v>
      </c>
    </row>
    <row r="177" spans="1:17" x14ac:dyDescent="0.25">
      <c r="A177" t="s">
        <v>247</v>
      </c>
      <c r="B177" t="s">
        <v>141</v>
      </c>
      <c r="C177" t="s">
        <v>41</v>
      </c>
      <c r="D177" t="s">
        <v>42</v>
      </c>
      <c r="E177" t="s">
        <v>68</v>
      </c>
      <c r="F177">
        <v>199</v>
      </c>
      <c r="G177" s="1">
        <v>45444.786805555559</v>
      </c>
      <c r="H177" s="1">
        <v>45444.822222222225</v>
      </c>
      <c r="I177" s="1">
        <v>45445.363888888889</v>
      </c>
      <c r="J177">
        <v>24.16</v>
      </c>
      <c r="K177" t="s">
        <v>53</v>
      </c>
      <c r="L177">
        <v>12</v>
      </c>
      <c r="M177">
        <f>(Analysis[[#This Row],[delivery_time]]-Analysis[[#This Row],[pickup_time]])*24</f>
        <v>12.999999999941792</v>
      </c>
      <c r="N177">
        <f>(Analysis[[#This Row],[delivery_time]]-Analysis[[#This Row],[accept_time]])*24</f>
        <v>13.849999999918509</v>
      </c>
      <c r="O177">
        <f>(Analysis[[#This Row],[pickup_time]]-Analysis[[#This Row],[accept_time]])*24</f>
        <v>0.84999999997671694</v>
      </c>
      <c r="P177" t="str">
        <f>IF(Analysis[[#This Row],[Total_Delivery_Hours]]&gt;Analysis[[#This Row],[sla_delivery_hrs]], "Breach", "OK")</f>
        <v>Breach</v>
      </c>
      <c r="Q177">
        <f>IF(Analysis[[#This Row],[delay_reason]]="None", 0,1)</f>
        <v>0</v>
      </c>
    </row>
    <row r="178" spans="1:17" x14ac:dyDescent="0.25">
      <c r="A178" t="s">
        <v>248</v>
      </c>
      <c r="B178" t="s">
        <v>215</v>
      </c>
      <c r="C178" t="s">
        <v>37</v>
      </c>
      <c r="D178" t="s">
        <v>38</v>
      </c>
      <c r="E178" t="s">
        <v>22</v>
      </c>
      <c r="F178">
        <v>1499</v>
      </c>
      <c r="G178" s="1">
        <v>45444.404861111114</v>
      </c>
      <c r="H178" s="1">
        <v>45444.443055555559</v>
      </c>
      <c r="I178" s="1">
        <v>45445.193055555559</v>
      </c>
      <c r="J178">
        <v>22.87</v>
      </c>
      <c r="K178" t="s">
        <v>30</v>
      </c>
      <c r="L178">
        <v>12</v>
      </c>
      <c r="M178">
        <f>(Analysis[[#This Row],[delivery_time]]-Analysis[[#This Row],[pickup_time]])*24</f>
        <v>18</v>
      </c>
      <c r="N178">
        <f>(Analysis[[#This Row],[delivery_time]]-Analysis[[#This Row],[accept_time]])*24</f>
        <v>18.916666666686069</v>
      </c>
      <c r="O178">
        <f>(Analysis[[#This Row],[pickup_time]]-Analysis[[#This Row],[accept_time]])*24</f>
        <v>0.91666666668606922</v>
      </c>
      <c r="P178" t="str">
        <f>IF(Analysis[[#This Row],[Total_Delivery_Hours]]&gt;Analysis[[#This Row],[sla_delivery_hrs]], "Breach", "OK")</f>
        <v>Breach</v>
      </c>
      <c r="Q178">
        <f>IF(Analysis[[#This Row],[delay_reason]]="None", 0,1)</f>
        <v>1</v>
      </c>
    </row>
    <row r="179" spans="1:17" x14ac:dyDescent="0.25">
      <c r="A179" t="s">
        <v>249</v>
      </c>
      <c r="B179" t="s">
        <v>107</v>
      </c>
      <c r="C179" t="s">
        <v>45</v>
      </c>
      <c r="D179" t="s">
        <v>46</v>
      </c>
      <c r="E179" t="s">
        <v>68</v>
      </c>
      <c r="F179">
        <v>2499</v>
      </c>
      <c r="G179" s="1">
        <v>45444.679166666669</v>
      </c>
      <c r="H179" s="1">
        <v>45444.748611111114</v>
      </c>
      <c r="I179" s="1">
        <v>45445.165277777778</v>
      </c>
      <c r="J179">
        <v>18.420000000000002</v>
      </c>
      <c r="K179" t="s">
        <v>23</v>
      </c>
      <c r="L179">
        <v>12</v>
      </c>
      <c r="M179">
        <f>(Analysis[[#This Row],[delivery_time]]-Analysis[[#This Row],[pickup_time]])*24</f>
        <v>9.9999999999417923</v>
      </c>
      <c r="N179">
        <f>(Analysis[[#This Row],[delivery_time]]-Analysis[[#This Row],[accept_time]])*24</f>
        <v>11.666666666627862</v>
      </c>
      <c r="O179">
        <f>(Analysis[[#This Row],[pickup_time]]-Analysis[[#This Row],[accept_time]])*24</f>
        <v>1.6666666666860692</v>
      </c>
      <c r="P179" t="str">
        <f>IF(Analysis[[#This Row],[Total_Delivery_Hours]]&gt;Analysis[[#This Row],[sla_delivery_hrs]], "Breach", "OK")</f>
        <v>OK</v>
      </c>
      <c r="Q179">
        <f>IF(Analysis[[#This Row],[delay_reason]]="None", 0,1)</f>
        <v>1</v>
      </c>
    </row>
    <row r="180" spans="1:17" x14ac:dyDescent="0.25">
      <c r="A180" t="s">
        <v>250</v>
      </c>
      <c r="B180" t="s">
        <v>175</v>
      </c>
      <c r="C180" t="s">
        <v>45</v>
      </c>
      <c r="D180" t="s">
        <v>46</v>
      </c>
      <c r="E180" t="s">
        <v>68</v>
      </c>
      <c r="F180">
        <v>1499</v>
      </c>
      <c r="G180" s="1">
        <v>45444.47152777778</v>
      </c>
      <c r="H180" s="1">
        <v>45444.492361111108</v>
      </c>
      <c r="I180" s="1">
        <v>45444.78402777778</v>
      </c>
      <c r="J180">
        <v>22.73</v>
      </c>
      <c r="K180" t="s">
        <v>30</v>
      </c>
      <c r="L180">
        <v>12</v>
      </c>
      <c r="M180">
        <f>(Analysis[[#This Row],[delivery_time]]-Analysis[[#This Row],[pickup_time]])*24</f>
        <v>7.0000000001164153</v>
      </c>
      <c r="N180">
        <f>(Analysis[[#This Row],[delivery_time]]-Analysis[[#This Row],[accept_time]])*24</f>
        <v>7.5</v>
      </c>
      <c r="O180">
        <f>(Analysis[[#This Row],[pickup_time]]-Analysis[[#This Row],[accept_time]])*24</f>
        <v>0.49999999988358468</v>
      </c>
      <c r="P180" t="str">
        <f>IF(Analysis[[#This Row],[Total_Delivery_Hours]]&gt;Analysis[[#This Row],[sla_delivery_hrs]], "Breach", "OK")</f>
        <v>OK</v>
      </c>
      <c r="Q180">
        <f>IF(Analysis[[#This Row],[delay_reason]]="None", 0,1)</f>
        <v>1</v>
      </c>
    </row>
    <row r="181" spans="1:17" x14ac:dyDescent="0.25">
      <c r="A181" t="s">
        <v>251</v>
      </c>
      <c r="B181" t="s">
        <v>62</v>
      </c>
      <c r="C181" t="s">
        <v>37</v>
      </c>
      <c r="D181" t="s">
        <v>38</v>
      </c>
      <c r="E181" t="s">
        <v>22</v>
      </c>
      <c r="F181">
        <v>699</v>
      </c>
      <c r="G181" s="1">
        <v>45444.425000000003</v>
      </c>
      <c r="H181" s="1">
        <v>45444.479166666664</v>
      </c>
      <c r="I181" s="1">
        <v>45444.854166666664</v>
      </c>
      <c r="J181">
        <v>23.55</v>
      </c>
      <c r="K181" t="s">
        <v>53</v>
      </c>
      <c r="L181">
        <v>12</v>
      </c>
      <c r="M181">
        <f>(Analysis[[#This Row],[delivery_time]]-Analysis[[#This Row],[pickup_time]])*24</f>
        <v>9</v>
      </c>
      <c r="N181">
        <f>(Analysis[[#This Row],[delivery_time]]-Analysis[[#This Row],[accept_time]])*24</f>
        <v>10.299999999871943</v>
      </c>
      <c r="O181">
        <f>(Analysis[[#This Row],[pickup_time]]-Analysis[[#This Row],[accept_time]])*24</f>
        <v>1.2999999998719431</v>
      </c>
      <c r="P181" t="str">
        <f>IF(Analysis[[#This Row],[Total_Delivery_Hours]]&gt;Analysis[[#This Row],[sla_delivery_hrs]], "Breach", "OK")</f>
        <v>OK</v>
      </c>
      <c r="Q181">
        <f>IF(Analysis[[#This Row],[delay_reason]]="None", 0,1)</f>
        <v>0</v>
      </c>
    </row>
    <row r="182" spans="1:17" x14ac:dyDescent="0.25">
      <c r="A182" t="s">
        <v>252</v>
      </c>
      <c r="B182" t="s">
        <v>57</v>
      </c>
      <c r="C182" t="s">
        <v>41</v>
      </c>
      <c r="D182" t="s">
        <v>42</v>
      </c>
      <c r="E182" t="s">
        <v>16</v>
      </c>
      <c r="F182">
        <v>499</v>
      </c>
      <c r="G182" s="1">
        <v>45444.388194444444</v>
      </c>
      <c r="H182" s="1">
        <v>45444.452777777777</v>
      </c>
      <c r="I182" s="1">
        <v>45445.077777777777</v>
      </c>
      <c r="J182">
        <v>9.6199999999999992</v>
      </c>
      <c r="K182" t="s">
        <v>53</v>
      </c>
      <c r="L182">
        <v>12</v>
      </c>
      <c r="M182">
        <f>(Analysis[[#This Row],[delivery_time]]-Analysis[[#This Row],[pickup_time]])*24</f>
        <v>15</v>
      </c>
      <c r="N182">
        <f>(Analysis[[#This Row],[delivery_time]]-Analysis[[#This Row],[accept_time]])*24</f>
        <v>16.549999999988358</v>
      </c>
      <c r="O182">
        <f>(Analysis[[#This Row],[pickup_time]]-Analysis[[#This Row],[accept_time]])*24</f>
        <v>1.5499999999883585</v>
      </c>
      <c r="P182" t="str">
        <f>IF(Analysis[[#This Row],[Total_Delivery_Hours]]&gt;Analysis[[#This Row],[sla_delivery_hrs]], "Breach", "OK")</f>
        <v>Breach</v>
      </c>
      <c r="Q182">
        <f>IF(Analysis[[#This Row],[delay_reason]]="None", 0,1)</f>
        <v>0</v>
      </c>
    </row>
    <row r="183" spans="1:17" x14ac:dyDescent="0.25">
      <c r="A183" t="s">
        <v>253</v>
      </c>
      <c r="B183" t="s">
        <v>104</v>
      </c>
      <c r="C183" t="s">
        <v>20</v>
      </c>
      <c r="D183" t="s">
        <v>21</v>
      </c>
      <c r="E183" t="s">
        <v>26</v>
      </c>
      <c r="F183">
        <v>2499</v>
      </c>
      <c r="G183" s="1">
        <v>45444.470833333333</v>
      </c>
      <c r="H183" s="1">
        <v>45444.550694444442</v>
      </c>
      <c r="I183" s="1">
        <v>45444.759027777778</v>
      </c>
      <c r="J183">
        <v>8.2899999999999991</v>
      </c>
      <c r="K183" t="s">
        <v>53</v>
      </c>
      <c r="L183">
        <v>12</v>
      </c>
      <c r="M183">
        <f>(Analysis[[#This Row],[delivery_time]]-Analysis[[#This Row],[pickup_time]])*24</f>
        <v>5.0000000000582077</v>
      </c>
      <c r="N183">
        <f>(Analysis[[#This Row],[delivery_time]]-Analysis[[#This Row],[accept_time]])*24</f>
        <v>6.9166666666860692</v>
      </c>
      <c r="O183">
        <f>(Analysis[[#This Row],[pickup_time]]-Analysis[[#This Row],[accept_time]])*24</f>
        <v>1.9166666666278616</v>
      </c>
      <c r="P183" t="str">
        <f>IF(Analysis[[#This Row],[Total_Delivery_Hours]]&gt;Analysis[[#This Row],[sla_delivery_hrs]], "Breach", "OK")</f>
        <v>OK</v>
      </c>
      <c r="Q183">
        <f>IF(Analysis[[#This Row],[delay_reason]]="None", 0,1)</f>
        <v>0</v>
      </c>
    </row>
    <row r="184" spans="1:17" x14ac:dyDescent="0.25">
      <c r="A184" t="s">
        <v>254</v>
      </c>
      <c r="B184" t="s">
        <v>180</v>
      </c>
      <c r="C184" t="s">
        <v>14</v>
      </c>
      <c r="D184" t="s">
        <v>15</v>
      </c>
      <c r="E184" t="s">
        <v>26</v>
      </c>
      <c r="F184">
        <v>199</v>
      </c>
      <c r="G184" s="1">
        <v>45444.38958333333</v>
      </c>
      <c r="H184" s="1">
        <v>45444.443055555559</v>
      </c>
      <c r="I184" s="1">
        <v>45445.068055555559</v>
      </c>
      <c r="J184">
        <v>12.09</v>
      </c>
      <c r="K184" t="s">
        <v>17</v>
      </c>
      <c r="L184">
        <v>12</v>
      </c>
      <c r="M184">
        <f>(Analysis[[#This Row],[delivery_time]]-Analysis[[#This Row],[pickup_time]])*24</f>
        <v>15</v>
      </c>
      <c r="N184">
        <f>(Analysis[[#This Row],[delivery_time]]-Analysis[[#This Row],[accept_time]])*24</f>
        <v>16.283333333500195</v>
      </c>
      <c r="O184">
        <f>(Analysis[[#This Row],[pickup_time]]-Analysis[[#This Row],[accept_time]])*24</f>
        <v>1.2833333335001953</v>
      </c>
      <c r="P184" t="str">
        <f>IF(Analysis[[#This Row],[Total_Delivery_Hours]]&gt;Analysis[[#This Row],[sla_delivery_hrs]], "Breach", "OK")</f>
        <v>Breach</v>
      </c>
      <c r="Q184">
        <f>IF(Analysis[[#This Row],[delay_reason]]="None", 0,1)</f>
        <v>1</v>
      </c>
    </row>
    <row r="185" spans="1:17" x14ac:dyDescent="0.25">
      <c r="A185" t="s">
        <v>255</v>
      </c>
      <c r="B185" t="s">
        <v>154</v>
      </c>
      <c r="C185" t="s">
        <v>20</v>
      </c>
      <c r="D185" t="s">
        <v>21</v>
      </c>
      <c r="E185" t="s">
        <v>16</v>
      </c>
      <c r="F185">
        <v>499</v>
      </c>
      <c r="G185" s="1">
        <v>45444.711111111108</v>
      </c>
      <c r="H185" s="1">
        <v>45444.761805555558</v>
      </c>
      <c r="I185" s="1">
        <v>45445.220138888886</v>
      </c>
      <c r="J185">
        <v>8.23</v>
      </c>
      <c r="K185" t="s">
        <v>53</v>
      </c>
      <c r="L185">
        <v>12</v>
      </c>
      <c r="M185">
        <f>(Analysis[[#This Row],[delivery_time]]-Analysis[[#This Row],[pickup_time]])*24</f>
        <v>10.999999999883585</v>
      </c>
      <c r="N185">
        <f>(Analysis[[#This Row],[delivery_time]]-Analysis[[#This Row],[accept_time]])*24</f>
        <v>12.216666666674428</v>
      </c>
      <c r="O185">
        <f>(Analysis[[#This Row],[pickup_time]]-Analysis[[#This Row],[accept_time]])*24</f>
        <v>1.216666666790843</v>
      </c>
      <c r="P185" t="str">
        <f>IF(Analysis[[#This Row],[Total_Delivery_Hours]]&gt;Analysis[[#This Row],[sla_delivery_hrs]], "Breach", "OK")</f>
        <v>OK</v>
      </c>
      <c r="Q185">
        <f>IF(Analysis[[#This Row],[delay_reason]]="None", 0,1)</f>
        <v>0</v>
      </c>
    </row>
    <row r="186" spans="1:17" x14ac:dyDescent="0.25">
      <c r="A186" t="s">
        <v>256</v>
      </c>
      <c r="B186" t="s">
        <v>114</v>
      </c>
      <c r="C186" t="s">
        <v>45</v>
      </c>
      <c r="D186" t="s">
        <v>46</v>
      </c>
      <c r="E186" t="s">
        <v>22</v>
      </c>
      <c r="F186">
        <v>1299</v>
      </c>
      <c r="G186" s="1">
        <v>45444.711111111108</v>
      </c>
      <c r="H186" s="1">
        <v>45444.790972222225</v>
      </c>
      <c r="I186" s="1">
        <v>45445.540972222225</v>
      </c>
      <c r="J186">
        <v>17.96</v>
      </c>
      <c r="K186" t="s">
        <v>30</v>
      </c>
      <c r="L186">
        <v>12</v>
      </c>
      <c r="M186">
        <f>(Analysis[[#This Row],[delivery_time]]-Analysis[[#This Row],[pickup_time]])*24</f>
        <v>18</v>
      </c>
      <c r="N186">
        <f>(Analysis[[#This Row],[delivery_time]]-Analysis[[#This Row],[accept_time]])*24</f>
        <v>19.916666666802485</v>
      </c>
      <c r="O186">
        <f>(Analysis[[#This Row],[pickup_time]]-Analysis[[#This Row],[accept_time]])*24</f>
        <v>1.9166666668024845</v>
      </c>
      <c r="P186" t="str">
        <f>IF(Analysis[[#This Row],[Total_Delivery_Hours]]&gt;Analysis[[#This Row],[sla_delivery_hrs]], "Breach", "OK")</f>
        <v>Breach</v>
      </c>
      <c r="Q186">
        <f>IF(Analysis[[#This Row],[delay_reason]]="None", 0,1)</f>
        <v>1</v>
      </c>
    </row>
    <row r="187" spans="1:17" x14ac:dyDescent="0.25">
      <c r="A187" t="s">
        <v>257</v>
      </c>
      <c r="B187" t="s">
        <v>122</v>
      </c>
      <c r="C187" t="s">
        <v>20</v>
      </c>
      <c r="D187" t="s">
        <v>21</v>
      </c>
      <c r="E187" t="s">
        <v>26</v>
      </c>
      <c r="F187">
        <v>499</v>
      </c>
      <c r="G187" s="1">
        <v>45444.615277777775</v>
      </c>
      <c r="H187" s="1">
        <v>45444.688888888886</v>
      </c>
      <c r="I187" s="1">
        <v>45445.230555555558</v>
      </c>
      <c r="J187">
        <v>16.940000000000001</v>
      </c>
      <c r="K187" t="s">
        <v>30</v>
      </c>
      <c r="L187">
        <v>12</v>
      </c>
      <c r="M187">
        <f>(Analysis[[#This Row],[delivery_time]]-Analysis[[#This Row],[pickup_time]])*24</f>
        <v>13.000000000116415</v>
      </c>
      <c r="N187">
        <f>(Analysis[[#This Row],[delivery_time]]-Analysis[[#This Row],[accept_time]])*24</f>
        <v>14.766666666779201</v>
      </c>
      <c r="O187">
        <f>(Analysis[[#This Row],[pickup_time]]-Analysis[[#This Row],[accept_time]])*24</f>
        <v>1.7666666666627862</v>
      </c>
      <c r="P187" t="str">
        <f>IF(Analysis[[#This Row],[Total_Delivery_Hours]]&gt;Analysis[[#This Row],[sla_delivery_hrs]], "Breach", "OK")</f>
        <v>Breach</v>
      </c>
      <c r="Q187">
        <f>IF(Analysis[[#This Row],[delay_reason]]="None", 0,1)</f>
        <v>1</v>
      </c>
    </row>
    <row r="188" spans="1:17" x14ac:dyDescent="0.25">
      <c r="A188" t="s">
        <v>258</v>
      </c>
      <c r="B188" t="s">
        <v>28</v>
      </c>
      <c r="C188" t="s">
        <v>14</v>
      </c>
      <c r="D188" t="s">
        <v>15</v>
      </c>
      <c r="E188" t="s">
        <v>22</v>
      </c>
      <c r="F188">
        <v>1299</v>
      </c>
      <c r="G188" s="1">
        <v>45444.765277777777</v>
      </c>
      <c r="H188" s="1">
        <v>45444.795138888891</v>
      </c>
      <c r="I188" s="1">
        <v>45445.295138888891</v>
      </c>
      <c r="J188">
        <v>5</v>
      </c>
      <c r="K188" t="s">
        <v>30</v>
      </c>
      <c r="L188">
        <v>12</v>
      </c>
      <c r="M188">
        <f>(Analysis[[#This Row],[delivery_time]]-Analysis[[#This Row],[pickup_time]])*24</f>
        <v>12</v>
      </c>
      <c r="N188">
        <f>(Analysis[[#This Row],[delivery_time]]-Analysis[[#This Row],[accept_time]])*24</f>
        <v>12.716666666732635</v>
      </c>
      <c r="O188">
        <f>(Analysis[[#This Row],[pickup_time]]-Analysis[[#This Row],[accept_time]])*24</f>
        <v>0.71666666673263535</v>
      </c>
      <c r="P188" t="str">
        <f>IF(Analysis[[#This Row],[Total_Delivery_Hours]]&gt;Analysis[[#This Row],[sla_delivery_hrs]], "Breach", "OK")</f>
        <v>OK</v>
      </c>
      <c r="Q188">
        <f>IF(Analysis[[#This Row],[delay_reason]]="None", 0,1)</f>
        <v>1</v>
      </c>
    </row>
    <row r="189" spans="1:17" x14ac:dyDescent="0.25">
      <c r="A189" t="s">
        <v>259</v>
      </c>
      <c r="B189" t="s">
        <v>70</v>
      </c>
      <c r="C189" t="s">
        <v>37</v>
      </c>
      <c r="D189" t="s">
        <v>38</v>
      </c>
      <c r="E189" t="s">
        <v>22</v>
      </c>
      <c r="F189">
        <v>699</v>
      </c>
      <c r="G189" s="1">
        <v>45444.736805555556</v>
      </c>
      <c r="H189" s="1">
        <v>45444.756249999999</v>
      </c>
      <c r="I189" s="1">
        <v>45445.506249999999</v>
      </c>
      <c r="J189">
        <v>12.03</v>
      </c>
      <c r="K189" t="s">
        <v>23</v>
      </c>
      <c r="L189">
        <v>12</v>
      </c>
      <c r="M189">
        <f>(Analysis[[#This Row],[delivery_time]]-Analysis[[#This Row],[pickup_time]])*24</f>
        <v>18</v>
      </c>
      <c r="N189">
        <f>(Analysis[[#This Row],[delivery_time]]-Analysis[[#This Row],[accept_time]])*24</f>
        <v>18.46666666661622</v>
      </c>
      <c r="O189">
        <f>(Analysis[[#This Row],[pickup_time]]-Analysis[[#This Row],[accept_time]])*24</f>
        <v>0.46666666661622003</v>
      </c>
      <c r="P189" t="str">
        <f>IF(Analysis[[#This Row],[Total_Delivery_Hours]]&gt;Analysis[[#This Row],[sla_delivery_hrs]], "Breach", "OK")</f>
        <v>Breach</v>
      </c>
      <c r="Q189">
        <f>IF(Analysis[[#This Row],[delay_reason]]="None", 0,1)</f>
        <v>1</v>
      </c>
    </row>
    <row r="190" spans="1:17" x14ac:dyDescent="0.25">
      <c r="A190" t="s">
        <v>260</v>
      </c>
      <c r="B190" t="s">
        <v>104</v>
      </c>
      <c r="C190" t="s">
        <v>14</v>
      </c>
      <c r="D190" t="s">
        <v>15</v>
      </c>
      <c r="E190" t="s">
        <v>34</v>
      </c>
      <c r="F190">
        <v>1499</v>
      </c>
      <c r="G190" s="1">
        <v>45444.488194444442</v>
      </c>
      <c r="H190" s="1">
        <v>45444.565972222219</v>
      </c>
      <c r="I190" s="1">
        <v>45444.774305555555</v>
      </c>
      <c r="J190">
        <v>8.82</v>
      </c>
      <c r="K190" t="s">
        <v>17</v>
      </c>
      <c r="L190">
        <v>12</v>
      </c>
      <c r="M190">
        <f>(Analysis[[#This Row],[delivery_time]]-Analysis[[#This Row],[pickup_time]])*24</f>
        <v>5.0000000000582077</v>
      </c>
      <c r="N190">
        <f>(Analysis[[#This Row],[delivery_time]]-Analysis[[#This Row],[accept_time]])*24</f>
        <v>6.8666666666977108</v>
      </c>
      <c r="O190">
        <f>(Analysis[[#This Row],[pickup_time]]-Analysis[[#This Row],[accept_time]])*24</f>
        <v>1.8666666666395031</v>
      </c>
      <c r="P190" t="str">
        <f>IF(Analysis[[#This Row],[Total_Delivery_Hours]]&gt;Analysis[[#This Row],[sla_delivery_hrs]], "Breach", "OK")</f>
        <v>OK</v>
      </c>
      <c r="Q190">
        <f>IF(Analysis[[#This Row],[delay_reason]]="None", 0,1)</f>
        <v>1</v>
      </c>
    </row>
    <row r="191" spans="1:17" x14ac:dyDescent="0.25">
      <c r="A191" t="s">
        <v>261</v>
      </c>
      <c r="B191" t="s">
        <v>72</v>
      </c>
      <c r="C191" t="s">
        <v>37</v>
      </c>
      <c r="D191" t="s">
        <v>38</v>
      </c>
      <c r="E191" t="s">
        <v>34</v>
      </c>
      <c r="F191">
        <v>1499</v>
      </c>
      <c r="G191" s="1">
        <v>45444.510416666664</v>
      </c>
      <c r="H191" s="1">
        <v>45444.572916666664</v>
      </c>
      <c r="I191" s="1">
        <v>45444.989583333336</v>
      </c>
      <c r="J191">
        <v>23.19</v>
      </c>
      <c r="K191" t="s">
        <v>30</v>
      </c>
      <c r="L191">
        <v>12</v>
      </c>
      <c r="M191">
        <f>(Analysis[[#This Row],[delivery_time]]-Analysis[[#This Row],[pickup_time]])*24</f>
        <v>10.000000000116415</v>
      </c>
      <c r="N191">
        <f>(Analysis[[#This Row],[delivery_time]]-Analysis[[#This Row],[accept_time]])*24</f>
        <v>11.500000000116415</v>
      </c>
      <c r="O191">
        <f>(Analysis[[#This Row],[pickup_time]]-Analysis[[#This Row],[accept_time]])*24</f>
        <v>1.5</v>
      </c>
      <c r="P191" t="str">
        <f>IF(Analysis[[#This Row],[Total_Delivery_Hours]]&gt;Analysis[[#This Row],[sla_delivery_hrs]], "Breach", "OK")</f>
        <v>OK</v>
      </c>
      <c r="Q191">
        <f>IF(Analysis[[#This Row],[delay_reason]]="None", 0,1)</f>
        <v>1</v>
      </c>
    </row>
    <row r="192" spans="1:17" x14ac:dyDescent="0.25">
      <c r="A192" t="s">
        <v>262</v>
      </c>
      <c r="B192" t="s">
        <v>154</v>
      </c>
      <c r="C192" t="s">
        <v>14</v>
      </c>
      <c r="D192" t="s">
        <v>15</v>
      </c>
      <c r="E192" t="s">
        <v>29</v>
      </c>
      <c r="F192">
        <v>1999</v>
      </c>
      <c r="G192" s="1">
        <v>45444.625694444447</v>
      </c>
      <c r="H192" s="1">
        <v>45444.673611111109</v>
      </c>
      <c r="I192" s="1">
        <v>45445.423611111109</v>
      </c>
      <c r="J192">
        <v>16.09</v>
      </c>
      <c r="K192" t="s">
        <v>23</v>
      </c>
      <c r="L192">
        <v>12</v>
      </c>
      <c r="M192">
        <f>(Analysis[[#This Row],[delivery_time]]-Analysis[[#This Row],[pickup_time]])*24</f>
        <v>18</v>
      </c>
      <c r="N192">
        <f>(Analysis[[#This Row],[delivery_time]]-Analysis[[#This Row],[accept_time]])*24</f>
        <v>19.149999999906868</v>
      </c>
      <c r="O192">
        <f>(Analysis[[#This Row],[pickup_time]]-Analysis[[#This Row],[accept_time]])*24</f>
        <v>1.1499999999068677</v>
      </c>
      <c r="P192" t="str">
        <f>IF(Analysis[[#This Row],[Total_Delivery_Hours]]&gt;Analysis[[#This Row],[sla_delivery_hrs]], "Breach", "OK")</f>
        <v>Breach</v>
      </c>
      <c r="Q192">
        <f>IF(Analysis[[#This Row],[delay_reason]]="None", 0,1)</f>
        <v>1</v>
      </c>
    </row>
    <row r="193" spans="1:17" x14ac:dyDescent="0.25">
      <c r="A193" t="s">
        <v>263</v>
      </c>
      <c r="B193" t="s">
        <v>104</v>
      </c>
      <c r="C193" t="s">
        <v>14</v>
      </c>
      <c r="D193" t="s">
        <v>15</v>
      </c>
      <c r="E193" t="s">
        <v>29</v>
      </c>
      <c r="F193">
        <v>2499</v>
      </c>
      <c r="G193" s="1">
        <v>45444.388888888891</v>
      </c>
      <c r="H193" s="1">
        <v>45444.440972222219</v>
      </c>
      <c r="I193" s="1">
        <v>45444.774305555555</v>
      </c>
      <c r="J193">
        <v>11.93</v>
      </c>
      <c r="K193" t="s">
        <v>53</v>
      </c>
      <c r="L193">
        <v>12</v>
      </c>
      <c r="M193">
        <f>(Analysis[[#This Row],[delivery_time]]-Analysis[[#This Row],[pickup_time]])*24</f>
        <v>8.0000000000582077</v>
      </c>
      <c r="N193">
        <f>(Analysis[[#This Row],[delivery_time]]-Analysis[[#This Row],[accept_time]])*24</f>
        <v>9.2499999999417923</v>
      </c>
      <c r="O193">
        <f>(Analysis[[#This Row],[pickup_time]]-Analysis[[#This Row],[accept_time]])*24</f>
        <v>1.2499999998835847</v>
      </c>
      <c r="P193" t="str">
        <f>IF(Analysis[[#This Row],[Total_Delivery_Hours]]&gt;Analysis[[#This Row],[sla_delivery_hrs]], "Breach", "OK")</f>
        <v>OK</v>
      </c>
      <c r="Q193">
        <f>IF(Analysis[[#This Row],[delay_reason]]="None", 0,1)</f>
        <v>0</v>
      </c>
    </row>
    <row r="194" spans="1:17" x14ac:dyDescent="0.25">
      <c r="A194" t="s">
        <v>264</v>
      </c>
      <c r="B194" t="s">
        <v>40</v>
      </c>
      <c r="C194" t="s">
        <v>20</v>
      </c>
      <c r="D194" t="s">
        <v>21</v>
      </c>
      <c r="E194" t="s">
        <v>68</v>
      </c>
      <c r="F194">
        <v>199</v>
      </c>
      <c r="G194" s="1">
        <v>45444.754166666666</v>
      </c>
      <c r="H194" s="1">
        <v>45444.791666666664</v>
      </c>
      <c r="I194" s="1">
        <v>45445.458333333336</v>
      </c>
      <c r="J194">
        <v>19.350000000000001</v>
      </c>
      <c r="K194" t="s">
        <v>17</v>
      </c>
      <c r="L194">
        <v>12</v>
      </c>
      <c r="M194">
        <f>(Analysis[[#This Row],[delivery_time]]-Analysis[[#This Row],[pickup_time]])*24</f>
        <v>16.000000000116415</v>
      </c>
      <c r="N194">
        <f>(Analysis[[#This Row],[delivery_time]]-Analysis[[#This Row],[accept_time]])*24</f>
        <v>16.900000000081491</v>
      </c>
      <c r="O194">
        <f>(Analysis[[#This Row],[pickup_time]]-Analysis[[#This Row],[accept_time]])*24</f>
        <v>0.8999999999650754</v>
      </c>
      <c r="P194" t="str">
        <f>IF(Analysis[[#This Row],[Total_Delivery_Hours]]&gt;Analysis[[#This Row],[sla_delivery_hrs]], "Breach", "OK")</f>
        <v>Breach</v>
      </c>
      <c r="Q194">
        <f>IF(Analysis[[#This Row],[delay_reason]]="None", 0,1)</f>
        <v>1</v>
      </c>
    </row>
    <row r="195" spans="1:17" x14ac:dyDescent="0.25">
      <c r="A195" t="s">
        <v>265</v>
      </c>
      <c r="B195" t="s">
        <v>33</v>
      </c>
      <c r="C195" t="s">
        <v>37</v>
      </c>
      <c r="D195" t="s">
        <v>38</v>
      </c>
      <c r="E195" t="s">
        <v>16</v>
      </c>
      <c r="F195">
        <v>1999</v>
      </c>
      <c r="G195" s="1">
        <v>45444.623611111114</v>
      </c>
      <c r="H195" s="1">
        <v>45444.682638888888</v>
      </c>
      <c r="I195" s="1">
        <v>45445.057638888888</v>
      </c>
      <c r="J195">
        <v>20.53</v>
      </c>
      <c r="K195" t="s">
        <v>53</v>
      </c>
      <c r="L195">
        <v>12</v>
      </c>
      <c r="M195">
        <f>(Analysis[[#This Row],[delivery_time]]-Analysis[[#This Row],[pickup_time]])*24</f>
        <v>9</v>
      </c>
      <c r="N195">
        <f>(Analysis[[#This Row],[delivery_time]]-Analysis[[#This Row],[accept_time]])*24</f>
        <v>10.416666666569654</v>
      </c>
      <c r="O195">
        <f>(Analysis[[#This Row],[pickup_time]]-Analysis[[#This Row],[accept_time]])*24</f>
        <v>1.4166666665696539</v>
      </c>
      <c r="P195" t="str">
        <f>IF(Analysis[[#This Row],[Total_Delivery_Hours]]&gt;Analysis[[#This Row],[sla_delivery_hrs]], "Breach", "OK")</f>
        <v>OK</v>
      </c>
      <c r="Q195">
        <f>IF(Analysis[[#This Row],[delay_reason]]="None", 0,1)</f>
        <v>0</v>
      </c>
    </row>
    <row r="196" spans="1:17" x14ac:dyDescent="0.25">
      <c r="A196" t="s">
        <v>266</v>
      </c>
      <c r="B196" t="s">
        <v>72</v>
      </c>
      <c r="C196" t="s">
        <v>20</v>
      </c>
      <c r="D196" t="s">
        <v>21</v>
      </c>
      <c r="E196" t="s">
        <v>34</v>
      </c>
      <c r="F196">
        <v>699</v>
      </c>
      <c r="G196" s="1">
        <v>45444.395138888889</v>
      </c>
      <c r="H196" s="1">
        <v>45444.463888888888</v>
      </c>
      <c r="I196" s="1">
        <v>45445.255555555559</v>
      </c>
      <c r="J196">
        <v>7.92</v>
      </c>
      <c r="K196" t="s">
        <v>30</v>
      </c>
      <c r="L196">
        <v>12</v>
      </c>
      <c r="M196">
        <f>(Analysis[[#This Row],[delivery_time]]-Analysis[[#This Row],[pickup_time]])*24</f>
        <v>19.000000000116415</v>
      </c>
      <c r="N196">
        <f>(Analysis[[#This Row],[delivery_time]]-Analysis[[#This Row],[accept_time]])*24</f>
        <v>20.650000000081491</v>
      </c>
      <c r="O196">
        <f>(Analysis[[#This Row],[pickup_time]]-Analysis[[#This Row],[accept_time]])*24</f>
        <v>1.6499999999650754</v>
      </c>
      <c r="P196" t="str">
        <f>IF(Analysis[[#This Row],[Total_Delivery_Hours]]&gt;Analysis[[#This Row],[sla_delivery_hrs]], "Breach", "OK")</f>
        <v>Breach</v>
      </c>
      <c r="Q196">
        <f>IF(Analysis[[#This Row],[delay_reason]]="None", 0,1)</f>
        <v>1</v>
      </c>
    </row>
    <row r="197" spans="1:17" x14ac:dyDescent="0.25">
      <c r="A197" t="s">
        <v>267</v>
      </c>
      <c r="B197" t="s">
        <v>141</v>
      </c>
      <c r="C197" t="s">
        <v>41</v>
      </c>
      <c r="D197" t="s">
        <v>42</v>
      </c>
      <c r="E197" t="s">
        <v>16</v>
      </c>
      <c r="F197">
        <v>1999</v>
      </c>
      <c r="G197" s="1">
        <v>45444.375694444447</v>
      </c>
      <c r="H197" s="1">
        <v>45444.401388888888</v>
      </c>
      <c r="I197" s="1">
        <v>45445.193055555559</v>
      </c>
      <c r="J197">
        <v>24.26</v>
      </c>
      <c r="K197" t="s">
        <v>30</v>
      </c>
      <c r="L197">
        <v>12</v>
      </c>
      <c r="M197">
        <f>(Analysis[[#This Row],[delivery_time]]-Analysis[[#This Row],[pickup_time]])*24</f>
        <v>19.000000000116415</v>
      </c>
      <c r="N197">
        <f>(Analysis[[#This Row],[delivery_time]]-Analysis[[#This Row],[accept_time]])*24</f>
        <v>19.616666666697711</v>
      </c>
      <c r="O197">
        <f>(Analysis[[#This Row],[pickup_time]]-Analysis[[#This Row],[accept_time]])*24</f>
        <v>0.61666666658129543</v>
      </c>
      <c r="P197" t="str">
        <f>IF(Analysis[[#This Row],[Total_Delivery_Hours]]&gt;Analysis[[#This Row],[sla_delivery_hrs]], "Breach", "OK")</f>
        <v>Breach</v>
      </c>
      <c r="Q197">
        <f>IF(Analysis[[#This Row],[delay_reason]]="None", 0,1)</f>
        <v>1</v>
      </c>
    </row>
    <row r="198" spans="1:17" x14ac:dyDescent="0.25">
      <c r="A198" t="s">
        <v>268</v>
      </c>
      <c r="B198" t="s">
        <v>40</v>
      </c>
      <c r="C198" t="s">
        <v>41</v>
      </c>
      <c r="D198" t="s">
        <v>42</v>
      </c>
      <c r="E198" t="s">
        <v>34</v>
      </c>
      <c r="F198">
        <v>399</v>
      </c>
      <c r="G198" s="1">
        <v>45444.679166666669</v>
      </c>
      <c r="H198" s="1">
        <v>45444.696527777778</v>
      </c>
      <c r="I198" s="1">
        <v>45445.404861111114</v>
      </c>
      <c r="J198">
        <v>23.2</v>
      </c>
      <c r="K198" t="s">
        <v>30</v>
      </c>
      <c r="L198">
        <v>12</v>
      </c>
      <c r="M198">
        <f>(Analysis[[#This Row],[delivery_time]]-Analysis[[#This Row],[pickup_time]])*24</f>
        <v>17.000000000058208</v>
      </c>
      <c r="N198">
        <f>(Analysis[[#This Row],[delivery_time]]-Analysis[[#This Row],[accept_time]])*24</f>
        <v>17.416666666686069</v>
      </c>
      <c r="O198">
        <f>(Analysis[[#This Row],[pickup_time]]-Analysis[[#This Row],[accept_time]])*24</f>
        <v>0.41666666662786156</v>
      </c>
      <c r="P198" t="str">
        <f>IF(Analysis[[#This Row],[Total_Delivery_Hours]]&gt;Analysis[[#This Row],[sla_delivery_hrs]], "Breach", "OK")</f>
        <v>Breach</v>
      </c>
      <c r="Q198">
        <f>IF(Analysis[[#This Row],[delay_reason]]="None", 0,1)</f>
        <v>1</v>
      </c>
    </row>
    <row r="199" spans="1:17" x14ac:dyDescent="0.25">
      <c r="A199" t="s">
        <v>269</v>
      </c>
      <c r="B199" t="s">
        <v>141</v>
      </c>
      <c r="C199" t="s">
        <v>45</v>
      </c>
      <c r="D199" t="s">
        <v>46</v>
      </c>
      <c r="E199" t="s">
        <v>22</v>
      </c>
      <c r="F199">
        <v>1499</v>
      </c>
      <c r="G199" s="1">
        <v>45444.761805555558</v>
      </c>
      <c r="H199" s="1">
        <v>45444.837500000001</v>
      </c>
      <c r="I199" s="1">
        <v>45445.004166666666</v>
      </c>
      <c r="J199">
        <v>10.77</v>
      </c>
      <c r="K199" t="s">
        <v>23</v>
      </c>
      <c r="L199">
        <v>12</v>
      </c>
      <c r="M199">
        <f>(Analysis[[#This Row],[delivery_time]]-Analysis[[#This Row],[pickup_time]])*24</f>
        <v>3.9999999999417923</v>
      </c>
      <c r="N199">
        <f>(Analysis[[#This Row],[delivery_time]]-Analysis[[#This Row],[accept_time]])*24</f>
        <v>5.816666666592937</v>
      </c>
      <c r="O199">
        <f>(Analysis[[#This Row],[pickup_time]]-Analysis[[#This Row],[accept_time]])*24</f>
        <v>1.8166666666511446</v>
      </c>
      <c r="P199" t="str">
        <f>IF(Analysis[[#This Row],[Total_Delivery_Hours]]&gt;Analysis[[#This Row],[sla_delivery_hrs]], "Breach", "OK")</f>
        <v>OK</v>
      </c>
      <c r="Q199">
        <f>IF(Analysis[[#This Row],[delay_reason]]="None", 0,1)</f>
        <v>1</v>
      </c>
    </row>
    <row r="200" spans="1:17" x14ac:dyDescent="0.25">
      <c r="A200" t="s">
        <v>270</v>
      </c>
      <c r="B200" t="s">
        <v>107</v>
      </c>
      <c r="C200" t="s">
        <v>41</v>
      </c>
      <c r="D200" t="s">
        <v>42</v>
      </c>
      <c r="E200" t="s">
        <v>29</v>
      </c>
      <c r="F200">
        <v>899</v>
      </c>
      <c r="G200" s="1">
        <v>45444.545138888891</v>
      </c>
      <c r="H200" s="1">
        <v>45444.611111111109</v>
      </c>
      <c r="I200" s="1">
        <v>45444.902777777781</v>
      </c>
      <c r="J200">
        <v>16.43</v>
      </c>
      <c r="K200" t="s">
        <v>17</v>
      </c>
      <c r="L200">
        <v>12</v>
      </c>
      <c r="M200">
        <f>(Analysis[[#This Row],[delivery_time]]-Analysis[[#This Row],[pickup_time]])*24</f>
        <v>7.0000000001164153</v>
      </c>
      <c r="N200">
        <f>(Analysis[[#This Row],[delivery_time]]-Analysis[[#This Row],[accept_time]])*24</f>
        <v>8.5833333333721384</v>
      </c>
      <c r="O200">
        <f>(Analysis[[#This Row],[pickup_time]]-Analysis[[#This Row],[accept_time]])*24</f>
        <v>1.5833333332557231</v>
      </c>
      <c r="P200" t="str">
        <f>IF(Analysis[[#This Row],[Total_Delivery_Hours]]&gt;Analysis[[#This Row],[sla_delivery_hrs]], "Breach", "OK")</f>
        <v>OK</v>
      </c>
      <c r="Q200">
        <f>IF(Analysis[[#This Row],[delay_reason]]="None", 0,1)</f>
        <v>1</v>
      </c>
    </row>
    <row r="201" spans="1:17" x14ac:dyDescent="0.25">
      <c r="A201" t="s">
        <v>271</v>
      </c>
      <c r="B201" t="s">
        <v>55</v>
      </c>
      <c r="C201" t="s">
        <v>37</v>
      </c>
      <c r="D201" t="s">
        <v>38</v>
      </c>
      <c r="E201" t="s">
        <v>29</v>
      </c>
      <c r="F201">
        <v>299</v>
      </c>
      <c r="G201" s="1">
        <v>45444.789583333331</v>
      </c>
      <c r="H201" s="1">
        <v>45444.837500000001</v>
      </c>
      <c r="I201" s="1">
        <v>45445.462500000001</v>
      </c>
      <c r="J201">
        <v>14.03</v>
      </c>
      <c r="K201" t="s">
        <v>23</v>
      </c>
      <c r="L201">
        <v>12</v>
      </c>
      <c r="M201">
        <f>(Analysis[[#This Row],[delivery_time]]-Analysis[[#This Row],[pickup_time]])*24</f>
        <v>15</v>
      </c>
      <c r="N201">
        <f>(Analysis[[#This Row],[delivery_time]]-Analysis[[#This Row],[accept_time]])*24</f>
        <v>16.150000000081491</v>
      </c>
      <c r="O201">
        <f>(Analysis[[#This Row],[pickup_time]]-Analysis[[#This Row],[accept_time]])*24</f>
        <v>1.1500000000814907</v>
      </c>
      <c r="P201" t="str">
        <f>IF(Analysis[[#This Row],[Total_Delivery_Hours]]&gt;Analysis[[#This Row],[sla_delivery_hrs]], "Breach", "OK")</f>
        <v>Breach</v>
      </c>
      <c r="Q201">
        <f>IF(Analysis[[#This Row],[delay_reason]]="None", 0,1)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DCB2-B2EB-4BDD-8B81-6C8A0197502B}">
  <dimension ref="B1:E78"/>
  <sheetViews>
    <sheetView tabSelected="1" topLeftCell="A53" workbookViewId="0">
      <selection activeCell="J61" sqref="J61"/>
    </sheetView>
  </sheetViews>
  <sheetFormatPr defaultRowHeight="15" x14ac:dyDescent="0.25"/>
  <cols>
    <col min="2" max="2" width="20.42578125" bestFit="1" customWidth="1"/>
    <col min="3" max="3" width="22.140625" bestFit="1" customWidth="1"/>
    <col min="4" max="4" width="30.7109375" bestFit="1" customWidth="1"/>
    <col min="5" max="6" width="12" bestFit="1" customWidth="1"/>
  </cols>
  <sheetData>
    <row r="1" spans="2:5" x14ac:dyDescent="0.25">
      <c r="B1" s="6" t="s">
        <v>277</v>
      </c>
      <c r="C1" s="6"/>
    </row>
    <row r="2" spans="2:5" x14ac:dyDescent="0.25">
      <c r="B2" t="s">
        <v>278</v>
      </c>
      <c r="C2">
        <f>COUNTA(Analysis[package_id])</f>
        <v>200</v>
      </c>
    </row>
    <row r="3" spans="2:5" x14ac:dyDescent="0.25">
      <c r="B3" t="s">
        <v>279</v>
      </c>
      <c r="C3" s="2">
        <f>COUNTIF(Analysis[SLA_Breach], "Breach")/C2</f>
        <v>0.47499999999999998</v>
      </c>
    </row>
    <row r="4" spans="2:5" x14ac:dyDescent="0.25">
      <c r="B4" t="s">
        <v>282</v>
      </c>
      <c r="C4">
        <f>AVERAGE(Analysis[Total_Delivery_Hours])</f>
        <v>12.000000000001746</v>
      </c>
    </row>
    <row r="5" spans="2:5" x14ac:dyDescent="0.25">
      <c r="B5" t="s">
        <v>280</v>
      </c>
      <c r="C5">
        <f>AVERAGE(Analysis[Fulfillment_Hours])</f>
        <v>13.133166666674079</v>
      </c>
    </row>
    <row r="6" spans="2:5" x14ac:dyDescent="0.25">
      <c r="B6" t="s">
        <v>281</v>
      </c>
      <c r="C6" s="2">
        <f>SUM(Analysis[Is_Delayed])/C2</f>
        <v>0.77500000000000002</v>
      </c>
    </row>
    <row r="9" spans="2:5" x14ac:dyDescent="0.25">
      <c r="B9" s="3" t="s">
        <v>283</v>
      </c>
      <c r="C9" t="s">
        <v>285</v>
      </c>
      <c r="D9" t="s">
        <v>287</v>
      </c>
      <c r="E9" t="s">
        <v>288</v>
      </c>
    </row>
    <row r="10" spans="2:5" x14ac:dyDescent="0.25">
      <c r="B10" s="4" t="s">
        <v>14</v>
      </c>
      <c r="C10">
        <v>12.76190476190199</v>
      </c>
      <c r="D10">
        <v>42</v>
      </c>
      <c r="E10" s="5">
        <v>0.52380952380952384</v>
      </c>
    </row>
    <row r="11" spans="2:5" x14ac:dyDescent="0.25">
      <c r="B11" s="4" t="s">
        <v>45</v>
      </c>
      <c r="C11">
        <v>11.093023255813954</v>
      </c>
      <c r="D11">
        <v>43</v>
      </c>
      <c r="E11" s="5">
        <v>0.37209302325581395</v>
      </c>
    </row>
    <row r="12" spans="2:5" x14ac:dyDescent="0.25">
      <c r="B12" s="4" t="s">
        <v>20</v>
      </c>
      <c r="C12">
        <v>12.139534883729052</v>
      </c>
      <c r="D12">
        <v>43</v>
      </c>
      <c r="E12" s="5">
        <v>0.51162790697674421</v>
      </c>
    </row>
    <row r="13" spans="2:5" x14ac:dyDescent="0.25">
      <c r="B13" s="4" t="s">
        <v>41</v>
      </c>
      <c r="C13">
        <v>11.404255319161321</v>
      </c>
      <c r="D13">
        <v>47</v>
      </c>
      <c r="E13" s="5">
        <v>0.46808510638297873</v>
      </c>
    </row>
    <row r="14" spans="2:5" x14ac:dyDescent="0.25">
      <c r="B14" s="4" t="s">
        <v>37</v>
      </c>
      <c r="C14">
        <v>13.159999999981373</v>
      </c>
      <c r="D14">
        <v>25</v>
      </c>
      <c r="E14" s="5">
        <v>0.52</v>
      </c>
    </row>
    <row r="15" spans="2:5" x14ac:dyDescent="0.25">
      <c r="B15" s="4" t="s">
        <v>284</v>
      </c>
      <c r="C15">
        <v>12.000000000001746</v>
      </c>
      <c r="D15">
        <v>200</v>
      </c>
      <c r="E15" s="5">
        <v>0.47499999999999998</v>
      </c>
    </row>
    <row r="18" spans="2:5" x14ac:dyDescent="0.25">
      <c r="B18" s="3" t="s">
        <v>283</v>
      </c>
      <c r="C18" t="s">
        <v>287</v>
      </c>
      <c r="D18" t="s">
        <v>285</v>
      </c>
      <c r="E18" t="s">
        <v>286</v>
      </c>
    </row>
    <row r="19" spans="2:5" x14ac:dyDescent="0.25">
      <c r="B19" s="4" t="s">
        <v>81</v>
      </c>
      <c r="C19">
        <v>4</v>
      </c>
      <c r="D19">
        <v>16.500000000043656</v>
      </c>
      <c r="E19">
        <v>1.2999999999592546</v>
      </c>
    </row>
    <row r="20" spans="2:5" x14ac:dyDescent="0.25">
      <c r="B20" s="4" t="s">
        <v>40</v>
      </c>
      <c r="C20">
        <v>8</v>
      </c>
      <c r="D20">
        <v>16.125</v>
      </c>
      <c r="E20">
        <v>1.0666666666511446</v>
      </c>
    </row>
    <row r="21" spans="2:5" x14ac:dyDescent="0.25">
      <c r="B21" s="4" t="s">
        <v>66</v>
      </c>
      <c r="C21">
        <v>4</v>
      </c>
      <c r="D21">
        <v>15.999999999985448</v>
      </c>
      <c r="E21">
        <v>1.3541666666715173</v>
      </c>
    </row>
    <row r="22" spans="2:5" x14ac:dyDescent="0.25">
      <c r="B22" s="4" t="s">
        <v>28</v>
      </c>
      <c r="C22">
        <v>4</v>
      </c>
      <c r="D22">
        <v>15.750000000043656</v>
      </c>
      <c r="E22">
        <v>1.1166666666831588</v>
      </c>
    </row>
    <row r="23" spans="2:5" x14ac:dyDescent="0.25">
      <c r="B23" s="4" t="s">
        <v>154</v>
      </c>
      <c r="C23">
        <v>3</v>
      </c>
      <c r="D23">
        <v>14.333333333313931</v>
      </c>
      <c r="E23">
        <v>0.95000000001164153</v>
      </c>
    </row>
    <row r="24" spans="2:5" x14ac:dyDescent="0.25">
      <c r="B24" s="4" t="s">
        <v>78</v>
      </c>
      <c r="C24">
        <v>7</v>
      </c>
      <c r="D24">
        <v>13.857142857134543</v>
      </c>
      <c r="E24">
        <v>1.2309523809485003</v>
      </c>
    </row>
    <row r="25" spans="2:5" x14ac:dyDescent="0.25">
      <c r="B25" s="4" t="s">
        <v>141</v>
      </c>
      <c r="C25">
        <v>7</v>
      </c>
      <c r="D25">
        <v>13.714285714260768</v>
      </c>
      <c r="E25">
        <v>1.2690476190431841</v>
      </c>
    </row>
    <row r="26" spans="2:5" x14ac:dyDescent="0.25">
      <c r="B26" s="4" t="s">
        <v>215</v>
      </c>
      <c r="C26">
        <v>3</v>
      </c>
      <c r="D26">
        <v>13.666666666686069</v>
      </c>
      <c r="E26">
        <v>0.73888888885267079</v>
      </c>
    </row>
    <row r="27" spans="2:5" x14ac:dyDescent="0.25">
      <c r="B27" s="4" t="s">
        <v>64</v>
      </c>
      <c r="C27">
        <v>3</v>
      </c>
      <c r="D27">
        <v>13.666666666627862</v>
      </c>
      <c r="E27">
        <v>1.5444444444729015</v>
      </c>
    </row>
    <row r="28" spans="2:5" x14ac:dyDescent="0.25">
      <c r="B28" s="4" t="s">
        <v>156</v>
      </c>
      <c r="C28">
        <v>4</v>
      </c>
      <c r="D28">
        <v>13.5</v>
      </c>
      <c r="E28">
        <v>1.0208333333430346</v>
      </c>
    </row>
    <row r="29" spans="2:5" x14ac:dyDescent="0.25">
      <c r="B29" s="4" t="s">
        <v>55</v>
      </c>
      <c r="C29">
        <v>8</v>
      </c>
      <c r="D29">
        <v>13.250000000014552</v>
      </c>
      <c r="E29">
        <v>1.3270833333808696</v>
      </c>
    </row>
    <row r="30" spans="2:5" x14ac:dyDescent="0.25">
      <c r="B30" s="4" t="s">
        <v>62</v>
      </c>
      <c r="C30">
        <v>6</v>
      </c>
      <c r="D30">
        <v>13.166666666686069</v>
      </c>
      <c r="E30">
        <v>1.0249999999650754</v>
      </c>
    </row>
    <row r="31" spans="2:5" x14ac:dyDescent="0.25">
      <c r="B31" s="4" t="s">
        <v>75</v>
      </c>
      <c r="C31">
        <v>6</v>
      </c>
      <c r="D31">
        <v>13</v>
      </c>
      <c r="E31">
        <v>1.0916666666453239</v>
      </c>
    </row>
    <row r="32" spans="2:5" x14ac:dyDescent="0.25">
      <c r="B32" s="4" t="s">
        <v>132</v>
      </c>
      <c r="C32">
        <v>5</v>
      </c>
      <c r="D32">
        <v>12.799999999988358</v>
      </c>
      <c r="E32">
        <v>1.4566666666651145</v>
      </c>
    </row>
    <row r="33" spans="2:5" x14ac:dyDescent="0.25">
      <c r="B33" s="4" t="s">
        <v>180</v>
      </c>
      <c r="C33">
        <v>5</v>
      </c>
      <c r="D33">
        <v>12.599999999965075</v>
      </c>
      <c r="E33">
        <v>0.90666666672332208</v>
      </c>
    </row>
    <row r="34" spans="2:5" x14ac:dyDescent="0.25">
      <c r="B34" s="4" t="s">
        <v>44</v>
      </c>
      <c r="C34">
        <v>9</v>
      </c>
      <c r="D34">
        <v>12.55555555554262</v>
      </c>
      <c r="E34">
        <v>1.0148148148048979</v>
      </c>
    </row>
    <row r="35" spans="2:5" x14ac:dyDescent="0.25">
      <c r="B35" s="4" t="s">
        <v>25</v>
      </c>
      <c r="C35">
        <v>2</v>
      </c>
      <c r="D35">
        <v>12.500000000058208</v>
      </c>
      <c r="E35">
        <v>1.2666666666045785</v>
      </c>
    </row>
    <row r="36" spans="2:5" x14ac:dyDescent="0.25">
      <c r="B36" s="4" t="s">
        <v>158</v>
      </c>
      <c r="C36">
        <v>3</v>
      </c>
      <c r="D36">
        <v>12.333333333313931</v>
      </c>
      <c r="E36">
        <v>0.90555555565515533</v>
      </c>
    </row>
    <row r="37" spans="2:5" x14ac:dyDescent="0.25">
      <c r="B37" s="4" t="s">
        <v>114</v>
      </c>
      <c r="C37">
        <v>4</v>
      </c>
      <c r="D37">
        <v>12</v>
      </c>
      <c r="E37">
        <v>0.92500000000291038</v>
      </c>
    </row>
    <row r="38" spans="2:5" x14ac:dyDescent="0.25">
      <c r="B38" s="4" t="s">
        <v>70</v>
      </c>
      <c r="C38">
        <v>7</v>
      </c>
      <c r="D38">
        <v>11.85714285710128</v>
      </c>
      <c r="E38">
        <v>0.92619047621597672</v>
      </c>
    </row>
    <row r="39" spans="2:5" x14ac:dyDescent="0.25">
      <c r="B39" s="4" t="s">
        <v>107</v>
      </c>
      <c r="C39">
        <v>3</v>
      </c>
      <c r="D39">
        <v>11.666666666686069</v>
      </c>
      <c r="E39">
        <v>1.31111111107748</v>
      </c>
    </row>
    <row r="40" spans="2:5" x14ac:dyDescent="0.25">
      <c r="B40" s="4" t="s">
        <v>36</v>
      </c>
      <c r="C40">
        <v>8</v>
      </c>
      <c r="D40">
        <v>11.625000000021828</v>
      </c>
      <c r="E40">
        <v>1.289583333345945</v>
      </c>
    </row>
    <row r="41" spans="2:5" x14ac:dyDescent="0.25">
      <c r="B41" s="4" t="s">
        <v>96</v>
      </c>
      <c r="C41">
        <v>5</v>
      </c>
      <c r="D41">
        <v>11.200000000046566</v>
      </c>
      <c r="E41">
        <v>1.3766666666488163</v>
      </c>
    </row>
    <row r="42" spans="2:5" x14ac:dyDescent="0.25">
      <c r="B42" s="4" t="s">
        <v>94</v>
      </c>
      <c r="C42">
        <v>10</v>
      </c>
      <c r="D42">
        <v>11.200000000011642</v>
      </c>
      <c r="E42">
        <v>1.143333333323244</v>
      </c>
    </row>
    <row r="43" spans="2:5" x14ac:dyDescent="0.25">
      <c r="B43" s="4" t="s">
        <v>72</v>
      </c>
      <c r="C43">
        <v>6</v>
      </c>
      <c r="D43">
        <v>11.166666666715173</v>
      </c>
      <c r="E43">
        <v>1.2305555555503815</v>
      </c>
    </row>
    <row r="44" spans="2:5" x14ac:dyDescent="0.25">
      <c r="B44" s="4" t="s">
        <v>19</v>
      </c>
      <c r="C44">
        <v>3</v>
      </c>
      <c r="D44">
        <v>11</v>
      </c>
      <c r="E44">
        <v>1.3388888888875954</v>
      </c>
    </row>
    <row r="45" spans="2:5" x14ac:dyDescent="0.25">
      <c r="B45" s="4" t="s">
        <v>127</v>
      </c>
      <c r="C45">
        <v>5</v>
      </c>
      <c r="D45">
        <v>10.799999999965076</v>
      </c>
      <c r="E45">
        <v>0.89333333334652709</v>
      </c>
    </row>
    <row r="46" spans="2:5" x14ac:dyDescent="0.25">
      <c r="B46" s="4" t="s">
        <v>48</v>
      </c>
      <c r="C46">
        <v>3</v>
      </c>
      <c r="D46">
        <v>10.666666666686069</v>
      </c>
      <c r="E46">
        <v>1.3999999999650754</v>
      </c>
    </row>
    <row r="47" spans="2:5" x14ac:dyDescent="0.25">
      <c r="B47" s="4" t="s">
        <v>84</v>
      </c>
      <c r="C47">
        <v>8</v>
      </c>
      <c r="D47">
        <v>10.624999999970896</v>
      </c>
      <c r="E47">
        <v>0.92708333338669036</v>
      </c>
    </row>
    <row r="48" spans="2:5" x14ac:dyDescent="0.25">
      <c r="B48" s="4" t="s">
        <v>13</v>
      </c>
      <c r="C48">
        <v>5</v>
      </c>
      <c r="D48">
        <v>10.199999999999999</v>
      </c>
      <c r="E48">
        <v>1.0766666667186655</v>
      </c>
    </row>
    <row r="49" spans="2:5" x14ac:dyDescent="0.25">
      <c r="B49" s="4" t="s">
        <v>102</v>
      </c>
      <c r="C49">
        <v>3</v>
      </c>
      <c r="D49">
        <v>10</v>
      </c>
      <c r="E49">
        <v>0.99444444448454306</v>
      </c>
    </row>
    <row r="50" spans="2:5" x14ac:dyDescent="0.25">
      <c r="B50" s="4" t="s">
        <v>122</v>
      </c>
      <c r="C50">
        <v>6</v>
      </c>
      <c r="D50">
        <v>10</v>
      </c>
      <c r="E50">
        <v>1.125</v>
      </c>
    </row>
    <row r="51" spans="2:5" x14ac:dyDescent="0.25">
      <c r="B51" s="4" t="s">
        <v>88</v>
      </c>
      <c r="C51">
        <v>4</v>
      </c>
      <c r="D51">
        <v>9.9999999999854481</v>
      </c>
      <c r="E51">
        <v>1.1875000000291038</v>
      </c>
    </row>
    <row r="52" spans="2:5" x14ac:dyDescent="0.25">
      <c r="B52" s="4" t="s">
        <v>50</v>
      </c>
      <c r="C52">
        <v>5</v>
      </c>
      <c r="D52">
        <v>9.9999999999767173</v>
      </c>
      <c r="E52">
        <v>1.3000000000465661</v>
      </c>
    </row>
    <row r="53" spans="2:5" x14ac:dyDescent="0.25">
      <c r="B53" s="4" t="s">
        <v>52</v>
      </c>
      <c r="C53">
        <v>5</v>
      </c>
      <c r="D53">
        <v>9.8000000000582084</v>
      </c>
      <c r="E53">
        <v>0.90333333330927412</v>
      </c>
    </row>
    <row r="54" spans="2:5" x14ac:dyDescent="0.25">
      <c r="B54" s="4" t="s">
        <v>57</v>
      </c>
      <c r="C54">
        <v>7</v>
      </c>
      <c r="D54">
        <v>9.7142857142690833</v>
      </c>
      <c r="E54">
        <v>1.1619047619502194</v>
      </c>
    </row>
    <row r="55" spans="2:5" x14ac:dyDescent="0.25">
      <c r="B55" s="4" t="s">
        <v>175</v>
      </c>
      <c r="C55">
        <v>4</v>
      </c>
      <c r="D55">
        <v>9</v>
      </c>
      <c r="E55">
        <v>0.62083333330519963</v>
      </c>
    </row>
    <row r="56" spans="2:5" x14ac:dyDescent="0.25">
      <c r="B56" s="4" t="s">
        <v>104</v>
      </c>
      <c r="C56">
        <v>5</v>
      </c>
      <c r="D56">
        <v>8.0000000000232827</v>
      </c>
      <c r="E56">
        <v>1.3933333332999609</v>
      </c>
    </row>
    <row r="57" spans="2:5" x14ac:dyDescent="0.25">
      <c r="B57" s="4" t="s">
        <v>33</v>
      </c>
      <c r="C57">
        <v>2</v>
      </c>
      <c r="D57">
        <v>7.0000000000291038</v>
      </c>
      <c r="E57">
        <v>1.316666666592937</v>
      </c>
    </row>
    <row r="58" spans="2:5" x14ac:dyDescent="0.25">
      <c r="B58" s="4" t="s">
        <v>99</v>
      </c>
      <c r="C58">
        <v>1</v>
      </c>
      <c r="D58">
        <v>5.0000000000582077</v>
      </c>
      <c r="E58">
        <v>0.88333333341870457</v>
      </c>
    </row>
    <row r="59" spans="2:5" x14ac:dyDescent="0.25">
      <c r="B59" s="4" t="s">
        <v>284</v>
      </c>
      <c r="C59">
        <v>200</v>
      </c>
      <c r="D59">
        <v>12.000000000001746</v>
      </c>
      <c r="E59">
        <v>1.1331666666723321</v>
      </c>
    </row>
    <row r="62" spans="2:5" x14ac:dyDescent="0.25">
      <c r="B62" s="3" t="s">
        <v>283</v>
      </c>
      <c r="C62" t="s">
        <v>289</v>
      </c>
      <c r="D62" t="s">
        <v>288</v>
      </c>
      <c r="E62" t="s">
        <v>290</v>
      </c>
    </row>
    <row r="63" spans="2:5" x14ac:dyDescent="0.25">
      <c r="B63" s="4" t="s">
        <v>15</v>
      </c>
      <c r="C63">
        <v>13.932142857137867</v>
      </c>
      <c r="D63" s="5">
        <v>0.52380952380952384</v>
      </c>
      <c r="E63">
        <v>31</v>
      </c>
    </row>
    <row r="64" spans="2:5" x14ac:dyDescent="0.25">
      <c r="B64" s="4" t="s">
        <v>46</v>
      </c>
      <c r="C64">
        <v>12.177519379859129</v>
      </c>
      <c r="D64" s="5">
        <v>0.37209302325581395</v>
      </c>
      <c r="E64">
        <v>37</v>
      </c>
    </row>
    <row r="65" spans="2:5" x14ac:dyDescent="0.25">
      <c r="B65" s="4" t="s">
        <v>21</v>
      </c>
      <c r="C65">
        <v>13.349224806201461</v>
      </c>
      <c r="D65" s="5">
        <v>0.51162790697674421</v>
      </c>
      <c r="E65">
        <v>28</v>
      </c>
    </row>
    <row r="66" spans="2:5" x14ac:dyDescent="0.25">
      <c r="B66" s="4" t="s">
        <v>42</v>
      </c>
      <c r="C66">
        <v>12.535460992925552</v>
      </c>
      <c r="D66" s="5">
        <v>0.46808510638297873</v>
      </c>
      <c r="E66">
        <v>40</v>
      </c>
    </row>
    <row r="67" spans="2:5" x14ac:dyDescent="0.25">
      <c r="B67" s="4" t="s">
        <v>38</v>
      </c>
      <c r="C67">
        <v>14.186666666676755</v>
      </c>
      <c r="D67" s="5">
        <v>0.52</v>
      </c>
      <c r="E67">
        <v>19</v>
      </c>
    </row>
    <row r="68" spans="2:5" x14ac:dyDescent="0.25">
      <c r="B68" s="4" t="s">
        <v>284</v>
      </c>
      <c r="C68">
        <v>13.133166666674079</v>
      </c>
      <c r="D68" s="5">
        <v>0.47499999999999998</v>
      </c>
      <c r="E68">
        <v>155</v>
      </c>
    </row>
    <row r="71" spans="2:5" x14ac:dyDescent="0.25">
      <c r="B71" s="3" t="s">
        <v>283</v>
      </c>
      <c r="C71" t="s">
        <v>291</v>
      </c>
      <c r="D71" t="s">
        <v>285</v>
      </c>
      <c r="E71" t="s">
        <v>292</v>
      </c>
    </row>
    <row r="72" spans="2:5" x14ac:dyDescent="0.25">
      <c r="B72" s="4" t="s">
        <v>68</v>
      </c>
      <c r="C72">
        <v>1066.5675675675675</v>
      </c>
      <c r="D72">
        <v>11.648648648640783</v>
      </c>
      <c r="E72" s="5">
        <v>0.78378378378378377</v>
      </c>
    </row>
    <row r="73" spans="2:5" x14ac:dyDescent="0.25">
      <c r="B73" s="4" t="s">
        <v>29</v>
      </c>
      <c r="C73">
        <v>856.69230769230774</v>
      </c>
      <c r="D73">
        <v>12.115384615384615</v>
      </c>
      <c r="E73" s="5">
        <v>0.80769230769230771</v>
      </c>
    </row>
    <row r="74" spans="2:5" x14ac:dyDescent="0.25">
      <c r="B74" s="4" t="s">
        <v>16</v>
      </c>
      <c r="C74">
        <v>1015.6666666666666</v>
      </c>
      <c r="D74">
        <v>12.499999999992724</v>
      </c>
      <c r="E74" s="5">
        <v>0.75</v>
      </c>
    </row>
    <row r="75" spans="2:5" x14ac:dyDescent="0.25">
      <c r="B75" s="4" t="s">
        <v>26</v>
      </c>
      <c r="C75">
        <v>950.35135135135135</v>
      </c>
      <c r="D75">
        <v>11.297297297295724</v>
      </c>
      <c r="E75" s="5">
        <v>0.86486486486486491</v>
      </c>
    </row>
    <row r="76" spans="2:5" x14ac:dyDescent="0.25">
      <c r="B76" s="4" t="s">
        <v>22</v>
      </c>
      <c r="C76">
        <v>1189</v>
      </c>
      <c r="D76">
        <v>12.075000000008732</v>
      </c>
      <c r="E76" s="5">
        <v>0.7</v>
      </c>
    </row>
    <row r="77" spans="2:5" x14ac:dyDescent="0.25">
      <c r="B77" s="4" t="s">
        <v>34</v>
      </c>
      <c r="C77">
        <v>1085.1111111111111</v>
      </c>
      <c r="D77">
        <v>12.583333333347886</v>
      </c>
      <c r="E77" s="5">
        <v>0.75</v>
      </c>
    </row>
    <row r="78" spans="2:5" x14ac:dyDescent="0.25">
      <c r="B78" s="4" t="s">
        <v>284</v>
      </c>
      <c r="C78">
        <v>1039.5</v>
      </c>
      <c r="D78">
        <v>12.000000000001746</v>
      </c>
      <c r="E78" s="5">
        <v>0.77500000000000002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Analysiss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Priya</dc:creator>
  <cp:lastModifiedBy>Gowthami Priya</cp:lastModifiedBy>
  <dcterms:created xsi:type="dcterms:W3CDTF">2025-11-26T11:20:12Z</dcterms:created>
  <dcterms:modified xsi:type="dcterms:W3CDTF">2025-11-26T13:33:18Z</dcterms:modified>
</cp:coreProperties>
</file>